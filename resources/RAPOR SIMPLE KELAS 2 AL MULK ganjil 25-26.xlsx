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wdp" ContentType="image/vnd.ms-photo"/>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6225" firstSheet="1" activeTab="1"/>
  </bookViews>
  <sheets>
    <sheet name="DATA SISWA" sheetId="1" r:id="rId1"/>
    <sheet name="PAI" sheetId="2" r:id="rId2"/>
    <sheet name="LITERASI" sheetId="3" r:id="rId3"/>
    <sheet name="SAINS (MATH)" sheetId="4" r:id="rId4"/>
    <sheet name="ADAB" sheetId="5" r:id="rId5"/>
    <sheet name="REKAP" sheetId="6" r:id="rId6"/>
    <sheet name="RAPOR" sheetId="7" r:id="rId7"/>
    <sheet name="PRAKTIK" sheetId="12" r:id="rId8"/>
    <sheet name="DESKRIPSI" sheetId="13" r:id="rId9"/>
    <sheet name="JILID" sheetId="8" r:id="rId10"/>
    <sheet name="TAHFIDZ" sheetId="9"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<sst xmlns="http://schemas.openxmlformats.org/spreadsheetml/2006/main" count="2502" uniqueCount="314">
  <si>
    <t>SEKOLAH:</t>
  </si>
  <si>
    <t>SD AL QUR'AN LANTABUR</t>
  </si>
  <si>
    <t>KELAS:</t>
  </si>
  <si>
    <t>2 AL MULK</t>
  </si>
  <si>
    <t>TAHUN PELAJARAN:</t>
  </si>
  <si>
    <t>2025/2026</t>
  </si>
  <si>
    <t>SEMESTER:</t>
  </si>
  <si>
    <t>GANJIL</t>
  </si>
  <si>
    <t>No</t>
  </si>
  <si>
    <t>Nama Siswa</t>
  </si>
  <si>
    <t>NIS</t>
  </si>
  <si>
    <t>NISN</t>
  </si>
  <si>
    <t>TTL</t>
  </si>
  <si>
    <t>LK/PR</t>
  </si>
  <si>
    <t>AGAMA</t>
  </si>
  <si>
    <t>ANAK KE</t>
  </si>
  <si>
    <t>JUMLAH SAUDARA KANDUNG</t>
  </si>
  <si>
    <t>STATUS DALAM KELUARGA</t>
  </si>
  <si>
    <t>ALAMAT SISWA</t>
  </si>
  <si>
    <t>SEKOLAH ASAL</t>
  </si>
  <si>
    <t>NAMA AYAH</t>
  </si>
  <si>
    <t>NAMA IBU</t>
  </si>
  <si>
    <t>PEKERJAAN AYAH</t>
  </si>
  <si>
    <t>PEKERJAAN IBU</t>
  </si>
  <si>
    <t>NO KONTAK</t>
  </si>
  <si>
    <t>ALIFAH HANANIYYA</t>
  </si>
  <si>
    <t>PEKANBARU, 16 SEPTEMBER 2017</t>
  </si>
  <si>
    <t>PR</t>
  </si>
  <si>
    <t>ISLAM</t>
  </si>
  <si>
    <t>ANAK KANDUNG</t>
  </si>
  <si>
    <t>JL. HANGTUAH UJUNG PERUMAHAN BMP 3 BLOK D 43, RT 03/RW 18</t>
  </si>
  <si>
    <t>-</t>
  </si>
  <si>
    <t>KHAIRUL ASHARI</t>
  </si>
  <si>
    <t>MAR'ATUN SYAKIROH</t>
  </si>
  <si>
    <t>GURU</t>
  </si>
  <si>
    <t>MENGURUS RT</t>
  </si>
  <si>
    <t>IZQIAN ARSALAN KUSUMA</t>
  </si>
  <si>
    <t>SIAK, 28 APRIL 2018</t>
  </si>
  <si>
    <t>LK</t>
  </si>
  <si>
    <t>JLN. KELILING</t>
  </si>
  <si>
    <t>TK AS TSAQIF KIDS</t>
  </si>
  <si>
    <t>EFRI DIAN KUSUMA</t>
  </si>
  <si>
    <t>FITRI HASTUTI</t>
  </si>
  <si>
    <t>WIRASWASTA</t>
  </si>
  <si>
    <t>MUHAMAD RISQI</t>
  </si>
  <si>
    <t>PEKANBARU, 6 JULI 2018</t>
  </si>
  <si>
    <t>JL. MANGGA BESAR, RT 03/RW 08</t>
  </si>
  <si>
    <t>ADI YULIANTO</t>
  </si>
  <si>
    <t>ERAWATI</t>
  </si>
  <si>
    <t>BURUH HARIAN LEPAS</t>
  </si>
  <si>
    <t>MUHAMMAD IBRAHIM ABDULLAH</t>
  </si>
  <si>
    <t>PEKANBARU, 30 MEI 2017</t>
  </si>
  <si>
    <t>JL. RAWA BALURAN, GG. RAWA TIRTA RT03/RW 08, TANGKERANG LABUAI</t>
  </si>
  <si>
    <t>TK ISLAM AL-ARSYI PEKANBARU</t>
  </si>
  <si>
    <t>FIRDAUS</t>
  </si>
  <si>
    <t>YELMI DEWISTA</t>
  </si>
  <si>
    <t>MUHAMMAD UWAIS AL QORNI ANDIEGA</t>
  </si>
  <si>
    <t>PEKANBARU, 06 JULI 2016</t>
  </si>
  <si>
    <t>JL.MANGGA BESAR, TANGKERANG TIMUR, TENAYAN RAYA</t>
  </si>
  <si>
    <t>SD NEGERI 90</t>
  </si>
  <si>
    <t>ANDI SAPUTRA</t>
  </si>
  <si>
    <t>MEGA WATI</t>
  </si>
  <si>
    <t>085265307592</t>
  </si>
  <si>
    <t>MUSTOFA ABDUL KARIM BENZEMA</t>
  </si>
  <si>
    <t>PEKANBARU, 4 JUNI 2017</t>
  </si>
  <si>
    <t>JL. KAPAU SARI IX, GG. KAPAU SARI IX/5, RT 03/RW07</t>
  </si>
  <si>
    <t>TK TAHFIDZ F3 PEKANBARU</t>
  </si>
  <si>
    <t>MUTHOLIB</t>
  </si>
  <si>
    <t>ARIFIA FUSILA</t>
  </si>
  <si>
    <t>WIRAUSAHA</t>
  </si>
  <si>
    <t>RAZAN MUMTAZAH ZUBAIR</t>
  </si>
  <si>
    <t>POLEWALI MANDAR, 5 JUNI 2018</t>
  </si>
  <si>
    <t>JL. HANGTUAH UJUNG 311, RT 2/RW 9</t>
  </si>
  <si>
    <t>TK IT ALJARIYAH POLMAN</t>
  </si>
  <si>
    <t>DESRENI</t>
  </si>
  <si>
    <t>SUBAER LOPA</t>
  </si>
  <si>
    <t>SHOFIYYAH MIZYANAH</t>
  </si>
  <si>
    <t>PEKANBARU, 22 FEBRUARI 2017</t>
  </si>
  <si>
    <t>JL. INDRAPURI UJUNG KOMPLEKPESANTREN HIDAYATULLAH, RT 03/RW 05</t>
  </si>
  <si>
    <t>TK TAHFIDZ YAA BUNAYYA</t>
  </si>
  <si>
    <t>MUHAMMAD JA'FAR SHIDIQ</t>
  </si>
  <si>
    <t>NAWIRTHA</t>
  </si>
  <si>
    <t>PERSENTASE NILAI</t>
  </si>
  <si>
    <t>NO</t>
  </si>
  <si>
    <t>NAMA SISWA</t>
  </si>
  <si>
    <t>FORMATIF 1</t>
  </si>
  <si>
    <t>RERATA 1</t>
  </si>
  <si>
    <t>FORMATIF 2</t>
  </si>
  <si>
    <t>RERATA 2</t>
  </si>
  <si>
    <t>FORMATIF 3</t>
  </si>
  <si>
    <t>RERATA 3</t>
  </si>
  <si>
    <t>RERATA FORMATIF</t>
  </si>
  <si>
    <t>NILAI SUMATIF</t>
  </si>
  <si>
    <t>NILAI RAPOR</t>
  </si>
  <si>
    <t>PEMBULATAN NILAI RAPOR</t>
  </si>
  <si>
    <t>FORMATIF 4</t>
  </si>
  <si>
    <t>RERATA 4</t>
  </si>
  <si>
    <t>PRAKTIK</t>
  </si>
  <si>
    <t>JUMLAH</t>
  </si>
  <si>
    <t>RATA-RATA</t>
  </si>
  <si>
    <t>RANGKING</t>
  </si>
  <si>
    <t>KEHADIRAN</t>
  </si>
  <si>
    <t>PAI</t>
  </si>
  <si>
    <t>LITERASI</t>
  </si>
  <si>
    <t>SAINS(MATH)</t>
  </si>
  <si>
    <t>ADAB</t>
  </si>
  <si>
    <t>S</t>
  </si>
  <si>
    <t>I</t>
  </si>
  <si>
    <t>A</t>
  </si>
  <si>
    <t xml:space="preserve">LAPORAN PENCAPAIAN KOMPETENSI PESERTA DIDIK
SEKOLAH DASAR AL QUR'AN LANTABUR
PEKANBARU
</t>
  </si>
  <si>
    <t>NAMA PESERTA DIDIK</t>
  </si>
  <si>
    <t>:</t>
  </si>
  <si>
    <t>NAMA SEKOLAH</t>
  </si>
  <si>
    <t>KELAS</t>
  </si>
  <si>
    <t>SEMESTER</t>
  </si>
  <si>
    <t>NAMA PELAJARAN</t>
  </si>
  <si>
    <t>KKM</t>
  </si>
  <si>
    <t>NILAI</t>
  </si>
  <si>
    <t>PREDIKAT</t>
  </si>
  <si>
    <t>DESKRIPSI</t>
  </si>
  <si>
    <t>NOMOR URUT</t>
  </si>
  <si>
    <t>SAINS (MATH)</t>
  </si>
  <si>
    <t>TOTAL NILAI</t>
  </si>
  <si>
    <t>RATA-RATA NILAI</t>
  </si>
  <si>
    <t>KETIDAKHADIRAN</t>
  </si>
  <si>
    <t>KETERANGAN</t>
  </si>
  <si>
    <t>C</t>
  </si>
  <si>
    <t>SAKIT</t>
  </si>
  <si>
    <t>91-100</t>
  </si>
  <si>
    <t>SANGAT BAIK</t>
  </si>
  <si>
    <t>B</t>
  </si>
  <si>
    <t>IZIN</t>
  </si>
  <si>
    <t>83-90</t>
  </si>
  <si>
    <t>BAIK</t>
  </si>
  <si>
    <t>TANPA KETERANGAN</t>
  </si>
  <si>
    <t>75-82</t>
  </si>
  <si>
    <t>CUKUP BAIK</t>
  </si>
  <si>
    <t>Mengetahui:</t>
  </si>
  <si>
    <t>Pekanbaru, 19 Desember 2025</t>
  </si>
  <si>
    <t>Orang Tua/Wali</t>
  </si>
  <si>
    <t>Wali Kelas 2 Al Mulk</t>
  </si>
  <si>
    <t>NINING WAHYUNI, S.I.Kom</t>
  </si>
  <si>
    <t>Kepala Sekolah</t>
  </si>
  <si>
    <t>NIY. 2403002</t>
  </si>
  <si>
    <t>KASMIDAR, S.Pd</t>
  </si>
  <si>
    <t>NIY. 2403001</t>
  </si>
  <si>
    <t>TAHUN PELAJARAN</t>
  </si>
  <si>
    <t>PRAKTIK PAI</t>
  </si>
  <si>
    <t>KATEGORI</t>
  </si>
  <si>
    <t>Adzan</t>
  </si>
  <si>
    <t>Iqomah</t>
  </si>
  <si>
    <t>Shalat Jum'at</t>
  </si>
  <si>
    <t>PRAKTIK ADAB</t>
  </si>
  <si>
    <t>Adab kepada Allah</t>
  </si>
  <si>
    <t>Adab kepada diri sendiri</t>
  </si>
  <si>
    <t>Adab kepada orang tua</t>
  </si>
  <si>
    <t>Adab kepada guru</t>
  </si>
  <si>
    <t>1 AN NAAS</t>
  </si>
  <si>
    <t>Adab Menuntut Ilmu</t>
  </si>
  <si>
    <t>Alhamdulillah ananda sangat memuaskan  praktek adab menuntut ilmu</t>
  </si>
  <si>
    <t>Adab Keseharian</t>
  </si>
  <si>
    <t>Alhamdulillah ananda sangat memuaskan  praktek adab keseharian</t>
  </si>
  <si>
    <t>Adab kepada Orang Tua</t>
  </si>
  <si>
    <t>Alhamdulillah ananda sangat memuaskan praktek adab kapada orangtua</t>
  </si>
  <si>
    <t>Wali Kelas 1 An Naas</t>
  </si>
  <si>
    <t>YERIKA SRI DEWI</t>
  </si>
  <si>
    <t>NIY. 2403004</t>
  </si>
  <si>
    <t xml:space="preserve"> </t>
  </si>
  <si>
    <t xml:space="preserve">NAMA </t>
  </si>
  <si>
    <t>fghhh</t>
  </si>
  <si>
    <t>Ananda ALIFAH sangat baik dalam memahami materi operasi hitung, bangun datar, dan posisi benda.</t>
  </si>
  <si>
    <t>Ananda ARSALAN sangat baik dalam memahami materi operasi hitung, bangun datar, dan posisi benda.</t>
  </si>
  <si>
    <t>Ananda RISQI perlu belajar lebih giat dan serius lagi dalam memahami materi operasi hitung, bangun datar, dan posisi benda. Mohon bimbingan dan kerjasama orang tua di rumah.</t>
  </si>
  <si>
    <t>Ananda IBRAHIM sangat baik dalam memahami materi penjumlahan dan bangun datar. Perlu berlatih lebih sering lagi pada materi pengurangan dan posisi benda.</t>
  </si>
  <si>
    <t>Ananda UWAIS baik dalam memahami materi operasi hitung, bangun datar, dan posisi benda.</t>
  </si>
  <si>
    <t>Ananda KARIM sangat baik dalam memahami materi operasi hitung, bangun datar, dan posisi benda. Hal yang perlu diperhatikan adalah ketelitian dalam proses pembelajaran.</t>
  </si>
  <si>
    <t>Ananda RAZAN baik dalam memahami materi operasi hitung, bangun datar, dan posisi benda. Hal yang perlu diperhatikan adalah ketelitian dalam proses pembelajaran.</t>
  </si>
  <si>
    <t>Ananda SHOFIYAH sangat baik dalam memahami materi operasi hitung, bangun datar, dan posisi benda.</t>
  </si>
  <si>
    <r>
      <rPr>
        <b/>
        <sz val="14"/>
        <color theme="1"/>
        <rFont val="Times New Roman"/>
        <charset val="134"/>
      </rPr>
      <t xml:space="preserve">LAPORAN PEMBELAJARAN UMMI
</t>
    </r>
    <r>
      <rPr>
        <b/>
        <sz val="16"/>
        <color theme="1"/>
        <rFont val="Times New Roman"/>
        <charset val="134"/>
      </rPr>
      <t>SD AL QUR'AN LANTABUR</t>
    </r>
    <r>
      <rPr>
        <b/>
        <sz val="14"/>
        <color theme="1"/>
        <rFont val="Times New Roman"/>
        <charset val="134"/>
      </rPr>
      <t xml:space="preserve">
TAHUN PELAJARAN 2025/2026</t>
    </r>
  </si>
  <si>
    <t>NAMA</t>
  </si>
  <si>
    <t>JILID</t>
  </si>
  <si>
    <t>AL QUR'AN</t>
  </si>
  <si>
    <t>POKOK BAHASAN</t>
  </si>
  <si>
    <t xml:space="preserve">Huruf </t>
  </si>
  <si>
    <t>Keterangan</t>
  </si>
  <si>
    <t>1. Pengenalan huruf tunggal (Hijaiyah) Alif-Ya.</t>
  </si>
  <si>
    <t>2. Pengenala huruf tunggal berharakat fathah A-Ya</t>
  </si>
  <si>
    <t>3. Membaca 2-3 huruf tunggal berharakat fathah A-Ya</t>
  </si>
  <si>
    <t>II</t>
  </si>
  <si>
    <t>1. Pengenalan harakat kasrah dan dhammah, fathatain, kasratain dan dhammahtain.</t>
  </si>
  <si>
    <t>2. Pengenala huruf sambung Alif - Ya</t>
  </si>
  <si>
    <t>3. Pengenalan Angka Arab 1-99</t>
  </si>
  <si>
    <t>III</t>
  </si>
  <si>
    <t>1. Pengenalan tanda baca panjang (Mad Thabi'i)</t>
  </si>
  <si>
    <t>* Fathah diikuti Alif dan fathah panjang</t>
  </si>
  <si>
    <t>* Kasrah diikuti Ya' sukun dan kasrah panjang</t>
  </si>
  <si>
    <t>* Dhammah diikuti Wawu sukun dan dan kasrah panjang</t>
  </si>
  <si>
    <t>2. Pengenalan tanda baca panjang (Mad wajib Muttashil dan Mad Jaiz Munfashil)</t>
  </si>
  <si>
    <t>3. Pengenalan Angka Arab 100-500</t>
  </si>
  <si>
    <t>IV</t>
  </si>
  <si>
    <t>1. Pengenalan huruf yang disukun ditekan membacanya</t>
  </si>
  <si>
    <t>2. Pengenalan tanda Tasydid/Syiddah ditekan membacanya.</t>
  </si>
  <si>
    <t>3. Membedakan cara membaca huruf-huruf</t>
  </si>
  <si>
    <t>* Tsa', Sin dan Syin yang disukun</t>
  </si>
  <si>
    <t>* 'Ain, Hamzah yang disukun.</t>
  </si>
  <si>
    <t>* Ha', Kha', dan Hha' yang disukun.</t>
  </si>
  <si>
    <t>V</t>
  </si>
  <si>
    <t>1. Pengenalan cara membaca Waqaf/mewakafkan</t>
  </si>
  <si>
    <t>2. Pengenalan bacaan Ghunnah/dengung</t>
  </si>
  <si>
    <t>3. Pengenalan bacaan ikhfa/samar</t>
  </si>
  <si>
    <t>4. Pengenalan bacaan Idgham Bighunnah</t>
  </si>
  <si>
    <t>5. Pengenalan bacaan Iqlab</t>
  </si>
  <si>
    <t>6. Pengenalan cara membaca lafadz Allah</t>
  </si>
  <si>
    <t>VI</t>
  </si>
  <si>
    <t>1. Pengenalan bacaan Qalqalah/mantul</t>
  </si>
  <si>
    <t>2. Pengenalan bacaan Idgham bilaghunnah</t>
  </si>
  <si>
    <t>3. Pengenalan bacaan Izhar/jelas.</t>
  </si>
  <si>
    <t>4. Pengenalan macam-macam tanda Waqaf/washal</t>
  </si>
  <si>
    <t>5. Cara membaca Nun-iwadh di awal dan ditengah ayat</t>
  </si>
  <si>
    <t>6. Membaca Ana, na-nya dibaca dipendek</t>
  </si>
  <si>
    <t>Al Qur'an</t>
  </si>
  <si>
    <t>1. Melafadzkan Al Qur'an dengan lancar</t>
  </si>
  <si>
    <t>2. Membaca dengan makhorijul huruf yang benar</t>
  </si>
  <si>
    <t>3. Memahami tajwid yang benar</t>
  </si>
  <si>
    <t>Al Qur'an (Ghorib)</t>
  </si>
  <si>
    <t>1. Pengenalan bacaan Ghrib dalam Al-Qur'an</t>
  </si>
  <si>
    <t>2. Pengenalan bacaan hati-hati dalam Al-Qur'an</t>
  </si>
  <si>
    <t>Al Qur'an (Tajwid)</t>
  </si>
  <si>
    <t>1. Hukum Nun Sukunatau Tanwin</t>
  </si>
  <si>
    <t>2. Ghunnah (Nun dan Min bertasydid)</t>
  </si>
  <si>
    <t xml:space="preserve">3. Hukum Mim Sukun </t>
  </si>
  <si>
    <t>4. Macam-macam Idgham</t>
  </si>
  <si>
    <t>5. Hukum lafadz Allah</t>
  </si>
  <si>
    <t>6. Qalqalah</t>
  </si>
  <si>
    <t>7. Idzhar wajib</t>
  </si>
  <si>
    <t>8. Hukum Ro'</t>
  </si>
  <si>
    <t>9. Hukum Lam Ta'rif (Al)</t>
  </si>
  <si>
    <t>10. Macam Mad (Mad Thabi'I dan Mad Far'i)</t>
  </si>
  <si>
    <t>Deskripsi</t>
  </si>
  <si>
    <t>Alhamdulillah Ananda memiliki kemampuan yang baik dalam melafazkan ayat Al Qur'an dengan makhorijul huruf dan tajwid yang benar, hanya saja Ananda perlu berlatih mengatur nafas agar bacaan bisa lebih lancar.</t>
  </si>
  <si>
    <t>Guru Al Qur'an</t>
  </si>
  <si>
    <t>SYARIFAH SAWILAH, S.Si.</t>
  </si>
  <si>
    <t>NIY. 2403003</t>
  </si>
  <si>
    <t>Alhamdulillah Ananda memiliki kemampuan yang baik dalam memahami materi pembelajaran. Hal yang perlu diperhatikan Ananda adalah belajar melatih diri untuk fokus dalam proses belajar. Mohon bimbingan dan kerjasama orangtua di rumah.</t>
  </si>
  <si>
    <t>Ananda cukup baik dalam memahami materi pembelajaran. Hal yang perlu diperhatikan Ananda adalah melatih diri untuk lebih tertib dan menjaga adab dalam proses pembelajaran serta membangun jiwa kompetitor di dalam diri Ananda. Mohon bimbingan dan kerjasama orangtua di rumah.</t>
  </si>
  <si>
    <t>Alhamdulillah Ananda memiliki kemampuan yang baik dalam membaca Al Qur'an. Hal yang perlu diperhatikan Ananda adalah melatih artikulasi (membuka mulut dengan sempurna) agar bacaan Al Qur'an lebih terdengar dengan jelas.</t>
  </si>
  <si>
    <t>3 dan 4</t>
  </si>
  <si>
    <t>Alhamdulillah Ananda memiliki kemampuan yang baik dalam memahami materi pembelajaran. Hal yang perlu diperhatikan Ananda adalah belajar melatih diri untuk meningkatkan fokus dan ketenangan pada saat membaca. Mohon bimbingan dan kerjasama orangtua di rumah.</t>
  </si>
  <si>
    <t>Alhamdulillah Ananda cukup baik dalam memahami materi pembelajaran. Hendaknya Ananda sering berlatih membaca dan melatih diri untuk meningkatkan fokus serta kejelian pada saat membaca. Mohon bimbingan dan kerjasama orangtua di rumah.</t>
  </si>
  <si>
    <t>Alhamdulillah Ananda memiliki adab yang baik dan kemampuan yang baik dalam membaca Al Qur'an . Hal yang perlu diperhatikan adalah hendaknya Ananda meningkatkan rasa kepercayaan diri dalam proses pembelajaran. mohon bimbingan dan kerjasama orangtua di rumah.</t>
  </si>
  <si>
    <t>Alhamdulillah Ananda sangat memuaskan dalam melafazkan ayat Al Qur'an dengan makhorijul huruf dan tajwid yang benar. Barokallahufiik.</t>
  </si>
  <si>
    <t>2. Membaca dengan makhorijul yang benar</t>
  </si>
  <si>
    <t>3. Membaca dengan makhorijul yang benar</t>
  </si>
  <si>
    <t>HAFALAN SURAT</t>
  </si>
  <si>
    <t>An Naas</t>
  </si>
  <si>
    <t>Al Insyiroh</t>
  </si>
  <si>
    <t>Ghorib 1-14 (Ghorib 1)</t>
  </si>
  <si>
    <t>Al Falaq</t>
  </si>
  <si>
    <t>Adh Dhuha</t>
  </si>
  <si>
    <t>Al Ikhlas</t>
  </si>
  <si>
    <t>Al Lail</t>
  </si>
  <si>
    <t>Ghorib 15-28 (Ghorib 2)</t>
  </si>
  <si>
    <t>Al Lahab</t>
  </si>
  <si>
    <t>Asy Syams</t>
  </si>
  <si>
    <t>An Nasr</t>
  </si>
  <si>
    <t>Al Balad</t>
  </si>
  <si>
    <t>Ghorib-Tajwid (tajwid 1)</t>
  </si>
  <si>
    <t>Al Kafirun</t>
  </si>
  <si>
    <t>Al Fajr</t>
  </si>
  <si>
    <t>Al Kautsar</t>
  </si>
  <si>
    <t>Al Ghosyiyah</t>
  </si>
  <si>
    <t>Ghorib-Tajwid (tajwid 2)</t>
  </si>
  <si>
    <t>Al Ma'un</t>
  </si>
  <si>
    <t>Al A'la</t>
  </si>
  <si>
    <t>Al Quraisy</t>
  </si>
  <si>
    <t>Ath Thoriq</t>
  </si>
  <si>
    <t>Pengembangan 1</t>
  </si>
  <si>
    <t>Al Fiil</t>
  </si>
  <si>
    <t>Al Buruj</t>
  </si>
  <si>
    <t>Al Humazah</t>
  </si>
  <si>
    <t>Al Insyiqoq</t>
  </si>
  <si>
    <t>Al 'Asr</t>
  </si>
  <si>
    <t>Al Mutoffifin</t>
  </si>
  <si>
    <t>At Takatsur</t>
  </si>
  <si>
    <t>Al Infithor</t>
  </si>
  <si>
    <t>Al Qori'ah</t>
  </si>
  <si>
    <t>At Takwir</t>
  </si>
  <si>
    <t>Al 'Adiyat</t>
  </si>
  <si>
    <t>Abasa</t>
  </si>
  <si>
    <t>Al Zalzalah</t>
  </si>
  <si>
    <t>An Nazi'at</t>
  </si>
  <si>
    <t>Al Bayyinah</t>
  </si>
  <si>
    <t>An Naba'</t>
  </si>
  <si>
    <t>Al Qodr</t>
  </si>
  <si>
    <t>Pemeliharaan hafalan juz 30</t>
  </si>
  <si>
    <t>Pengembangan 2</t>
  </si>
  <si>
    <t>Al 'Alaq</t>
  </si>
  <si>
    <t>penambahan hafalan baru juz 29</t>
  </si>
  <si>
    <t>At Tiin</t>
  </si>
  <si>
    <t>PENILAIAN</t>
  </si>
  <si>
    <t>HURUF</t>
  </si>
  <si>
    <t>90-100</t>
  </si>
  <si>
    <t>Mumtaz</t>
  </si>
  <si>
    <t>75-89</t>
  </si>
  <si>
    <t>Jayyid</t>
  </si>
  <si>
    <t>66-74</t>
  </si>
  <si>
    <t>Maqbul</t>
  </si>
  <si>
    <t>Mengetahui</t>
  </si>
  <si>
    <t>Kepala SD Al Qur'an Lantabur</t>
  </si>
  <si>
    <t>Orangtua/Wali</t>
  </si>
  <si>
    <t>Guru Tahfidz Al Qur'an</t>
  </si>
  <si>
    <t>KASMIDAR, S. Pd</t>
  </si>
  <si>
    <t>SYARIFAH SAWILAH, S.Si</t>
  </si>
  <si>
    <t>Pekanbaru, 20 Juni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</si>
</sst>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 * &quot; : &quot;"/>
  </numFmts>
  <fonts count="35">
    <font>
      <sz val="11"/>
      <color theme="1"/>
      <name val="Calibri"/>
      <charset val="134"/>
      <scheme val="minor"/>
    </font>
    <font>
      <sz val="12"/>
      <color theme="1"/>
      <name val="Calibri"/>
      <charset val="134"/>
      <scheme val="minor"/>
    </font>
    <font>
      <b/>
      <sz val="14"/>
      <color theme="1"/>
      <name val="Times New Roman"/>
      <charset val="134"/>
    </font>
    <font>
      <b/>
      <sz val="12"/>
      <color theme="1"/>
      <name val="Calibri"/>
      <charset val="134"/>
      <scheme val="minor"/>
    </font>
    <font>
      <b/>
      <u/>
      <sz val="12"/>
      <color theme="1"/>
      <name val="Calibri"/>
      <charset val="134"/>
      <scheme val="minor"/>
    </font>
    <font>
      <b/>
      <u/>
      <sz val="11"/>
      <color theme="1"/>
      <name val="Calibri"/>
      <charset val="134"/>
      <scheme val="minor"/>
    </font>
    <font>
      <b/>
      <sz val="14"/>
      <color theme="1"/>
      <name val="Calibri"/>
      <charset val="134"/>
      <scheme val="minor"/>
    </font>
    <font>
      <b/>
      <sz val="11"/>
      <color theme="1"/>
      <name val="Calibri"/>
      <charset val="134"/>
      <scheme val="minor"/>
    </font>
    <font>
      <sz val="12"/>
      <color rgb="FFFF0000"/>
      <name val="Calibri"/>
      <charset val="134"/>
      <scheme val="minor"/>
    </font>
    <font>
      <sz val="8"/>
      <color rgb="FFFF0000"/>
      <name val="Calibri"/>
      <charset val="134"/>
      <scheme val="minor"/>
    </font>
    <font>
      <sz val="12"/>
      <color theme="1"/>
      <name val="Times New Roman"/>
      <charset val="134"/>
    </font>
    <font>
      <b/>
      <sz val="18"/>
      <color theme="1"/>
      <name val="Calibri"/>
      <charset val="134"/>
      <scheme val="minor"/>
    </font>
    <font>
      <sz val="11"/>
      <color theme="1"/>
      <name val="Times New Roman"/>
      <charset val="134"/>
    </font>
    <font>
      <sz val="6"/>
      <color theme="1"/>
      <name val="Calibri"/>
      <charset val="134"/>
      <scheme val="minor"/>
    </font>
    <font>
      <sz val="9"/>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6"/>
      <color theme="1"/>
      <name val="Times New Roman"/>
      <charset val="134"/>
    </font>
  </fonts>
  <fills count="48">
    <fill>
      <patternFill patternType="none"/>
    </fill>
    <fill>
      <patternFill patternType="gray125"/>
    </fill>
    <fill>
      <patternFill patternType="solid">
        <fgColor rgb="FF92D050"/>
        <bgColor indexed="64"/>
      </patternFill>
    </fill>
    <fill>
      <patternFill patternType="solid">
        <fgColor theme="5" tint="0.6"/>
        <bgColor indexed="64"/>
      </patternFill>
    </fill>
    <fill>
      <patternFill patternType="solid">
        <fgColor theme="7" tint="0.6"/>
        <bgColor indexed="64"/>
      </patternFill>
    </fill>
    <fill>
      <patternFill patternType="solid">
        <fgColor rgb="FFEA85F3"/>
        <bgColor indexed="64"/>
      </patternFill>
    </fill>
    <fill>
      <patternFill patternType="solid">
        <fgColor rgb="FFFFC000"/>
        <bgColor indexed="64"/>
      </patternFill>
    </fill>
    <fill>
      <patternFill patternType="solid">
        <fgColor rgb="FFFFFF00"/>
        <bgColor indexed="64"/>
      </patternFill>
    </fill>
    <fill>
      <patternFill patternType="solid">
        <fgColor theme="9" tint="0.399945066682943"/>
        <bgColor indexed="64"/>
      </patternFill>
    </fill>
    <fill>
      <patternFill patternType="solid">
        <fgColor rgb="FF00FFFF"/>
        <bgColor indexed="64"/>
      </patternFill>
    </fill>
    <fill>
      <patternFill patternType="solid">
        <fgColor rgb="FFDFF18E"/>
        <bgColor indexed="64"/>
      </patternFill>
    </fill>
    <fill>
      <patternFill patternType="solid">
        <fgColor rgb="FFF7FC7E"/>
        <bgColor indexed="64"/>
      </patternFill>
    </fill>
    <fill>
      <patternFill patternType="solid">
        <fgColor rgb="FFCC99FF"/>
        <bgColor indexed="64"/>
      </patternFill>
    </fill>
    <fill>
      <patternFill patternType="solid">
        <fgColor theme="5" tint="0.399975585192419"/>
        <bgColor indexed="64"/>
      </patternFill>
    </fill>
    <fill>
      <patternFill patternType="solid">
        <fgColor theme="4" tint="0.8"/>
        <bgColor indexed="64"/>
      </patternFill>
    </fill>
    <fill>
      <patternFill patternType="solid">
        <fgColor rgb="FFCB49C4"/>
        <bgColor indexed="64"/>
      </patternFill>
    </fill>
    <fill>
      <patternFill patternType="solid">
        <fgColor theme="4" tint="0.399975585192419"/>
        <bgColor indexed="64"/>
      </patternFill>
    </fill>
    <fill>
      <patternFill patternType="solid">
        <fgColor rgb="FF8AEF79"/>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right/>
      <top/>
      <bottom style="double">
        <color auto="1"/>
      </bottom>
      <diagonal/>
    </border>
    <border>
      <left style="medium">
        <color auto="1"/>
      </left>
      <right style="medium">
        <color auto="1"/>
      </right>
      <top style="medium">
        <color auto="1"/>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top style="thin">
        <color auto="1"/>
      </top>
      <bottom/>
      <diagonal/>
    </border>
    <border>
      <left style="medium">
        <color auto="1"/>
      </left>
      <right/>
      <top/>
      <bottom style="thin">
        <color auto="1"/>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style="medium">
        <color auto="1"/>
      </top>
      <bottom style="thin">
        <color auto="1"/>
      </bottom>
      <diagonal/>
    </border>
    <border>
      <left/>
      <right/>
      <top style="thin">
        <color auto="1"/>
      </top>
      <bottom style="medium">
        <color auto="1"/>
      </bottom>
      <diagonal/>
    </border>
    <border>
      <left/>
      <right style="thin">
        <color auto="1"/>
      </right>
      <top/>
      <bottom style="thin">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9" borderId="6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65" applyNumberFormat="0" applyFill="0" applyAlignment="0" applyProtection="0">
      <alignment vertical="center"/>
    </xf>
    <xf numFmtId="0" fontId="21" fillId="0" borderId="65" applyNumberFormat="0" applyFill="0" applyAlignment="0" applyProtection="0">
      <alignment vertical="center"/>
    </xf>
    <xf numFmtId="0" fontId="22" fillId="0" borderId="66" applyNumberFormat="0" applyFill="0" applyAlignment="0" applyProtection="0">
      <alignment vertical="center"/>
    </xf>
    <xf numFmtId="0" fontId="22" fillId="0" borderId="0" applyNumberFormat="0" applyFill="0" applyBorder="0" applyAlignment="0" applyProtection="0">
      <alignment vertical="center"/>
    </xf>
    <xf numFmtId="0" fontId="23" fillId="20" borderId="67" applyNumberFormat="0" applyAlignment="0" applyProtection="0">
      <alignment vertical="center"/>
    </xf>
    <xf numFmtId="0" fontId="24" fillId="21" borderId="68" applyNumberFormat="0" applyAlignment="0" applyProtection="0">
      <alignment vertical="center"/>
    </xf>
    <xf numFmtId="0" fontId="25" fillId="21" borderId="67" applyNumberFormat="0" applyAlignment="0" applyProtection="0">
      <alignment vertical="center"/>
    </xf>
    <xf numFmtId="0" fontId="26" fillId="22" borderId="69" applyNumberFormat="0" applyAlignment="0" applyProtection="0">
      <alignment vertical="center"/>
    </xf>
    <xf numFmtId="0" fontId="27" fillId="0" borderId="70" applyNumberFormat="0" applyFill="0" applyAlignment="0" applyProtection="0">
      <alignment vertical="center"/>
    </xf>
    <xf numFmtId="0" fontId="28" fillId="0" borderId="71" applyNumberFormat="0" applyFill="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16"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13"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2" fillId="47" borderId="0" applyNumberFormat="0" applyBorder="0" applyAlignment="0" applyProtection="0">
      <alignment vertical="center"/>
    </xf>
  </cellStyleXfs>
  <cellXfs count="361">
    <xf numFmtId="0" fontId="0" fillId="0" borderId="0" xfId="0">
      <alignment vertical="center"/>
    </xf>
    <xf numFmtId="0" fontId="1" fillId="0" borderId="0" xfId="0" applyFont="1" applyAlignment="1"/>
    <xf numFmtId="0" fontId="2" fillId="0" borderId="0" xfId="0" applyFont="1" applyAlignment="1">
      <alignment horizontal="center" wrapText="1"/>
    </xf>
    <xf numFmtId="0" fontId="2" fillId="0" borderId="1" xfId="0" applyFont="1" applyBorder="1" applyAlignment="1">
      <alignment horizontal="center" wrapText="1"/>
    </xf>
    <xf numFmtId="178" fontId="3" fillId="0" borderId="0" xfId="0" applyNumberFormat="1" applyFont="1" applyAlignment="1">
      <alignment horizontal="center"/>
    </xf>
    <xf numFmtId="0" fontId="3" fillId="0" borderId="0" xfId="0" applyFont="1" applyAlignment="1">
      <alignment horizontal="left"/>
    </xf>
    <xf numFmtId="0" fontId="3" fillId="0" borderId="0" xfId="0" applyFont="1" applyAlignment="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1" fillId="0" borderId="5" xfId="0" applyFont="1" applyBorder="1" applyAlignment="1">
      <alignment horizontal="center"/>
    </xf>
    <xf numFmtId="0" fontId="1" fillId="0" borderId="5" xfId="0" applyFont="1" applyBorder="1" applyAlignment="1"/>
    <xf numFmtId="0" fontId="1" fillId="0" borderId="6" xfId="0" applyFont="1" applyBorder="1" applyAlignment="1">
      <alignment horizontal="center" vertical="center"/>
    </xf>
    <xf numFmtId="0" fontId="1" fillId="0" borderId="7" xfId="0" applyFont="1" applyBorder="1" applyAlignment="1"/>
    <xf numFmtId="0" fontId="1" fillId="0" borderId="2" xfId="0" applyFont="1" applyBorder="1" applyAlignment="1">
      <alignment horizontal="center"/>
    </xf>
    <xf numFmtId="0" fontId="1" fillId="0" borderId="2" xfId="0" applyFont="1" applyBorder="1" applyAlignment="1"/>
    <xf numFmtId="0" fontId="1" fillId="0" borderId="8" xfId="0" applyFont="1" applyBorder="1" applyAlignment="1">
      <alignment horizontal="center" wrapText="1"/>
    </xf>
    <xf numFmtId="0" fontId="1" fillId="0" borderId="0" xfId="0" applyFont="1" applyAlignment="1">
      <alignment horizontal="center" vertical="center"/>
    </xf>
    <xf numFmtId="0" fontId="1" fillId="0" borderId="9" xfId="0" applyFont="1" applyBorder="1" applyAlignment="1">
      <alignment horizontal="center"/>
    </xf>
    <xf numFmtId="0" fontId="1" fillId="0" borderId="9" xfId="0" applyFont="1" applyBorder="1" applyAlignment="1"/>
    <xf numFmtId="0" fontId="1" fillId="0" borderId="10" xfId="0" applyFont="1" applyBorder="1" applyAlignment="1">
      <alignment horizontal="center" wrapText="1"/>
    </xf>
    <xf numFmtId="0" fontId="1" fillId="0" borderId="2" xfId="0" applyFont="1" applyBorder="1" applyAlignment="1">
      <alignment horizontal="center" wrapText="1"/>
    </xf>
    <xf numFmtId="0" fontId="1" fillId="0" borderId="11" xfId="0" applyFont="1" applyBorder="1" applyAlignment="1">
      <alignment horizontal="center"/>
    </xf>
    <xf numFmtId="0" fontId="1" fillId="0" borderId="11" xfId="0" applyFont="1" applyBorder="1" applyAlignment="1"/>
    <xf numFmtId="0" fontId="1" fillId="0" borderId="12" xfId="0" applyFont="1" applyBorder="1" applyAlignment="1">
      <alignment horizontal="center" vertical="center"/>
    </xf>
    <xf numFmtId="0" fontId="1" fillId="0" borderId="9" xfId="0" applyFont="1" applyBorder="1" applyAlignment="1">
      <alignment horizontal="center" wrapText="1"/>
    </xf>
    <xf numFmtId="0" fontId="1" fillId="0" borderId="13" xfId="0" applyFont="1" applyBorder="1" applyAlignment="1">
      <alignment horizontal="center"/>
    </xf>
    <xf numFmtId="0" fontId="1" fillId="0" borderId="13" xfId="0" applyFont="1" applyBorder="1" applyAlignment="1"/>
    <xf numFmtId="0" fontId="1" fillId="0" borderId="8" xfId="0" applyFont="1" applyBorder="1" applyAlignment="1">
      <alignment horizontal="center" vertical="center"/>
    </xf>
    <xf numFmtId="0" fontId="1" fillId="0" borderId="8" xfId="0" applyFont="1" applyBorder="1" applyAlignment="1">
      <alignment horizontal="center" vertical="center" wrapText="1"/>
    </xf>
    <xf numFmtId="0" fontId="1" fillId="0" borderId="14" xfId="0" applyFont="1" applyBorder="1" applyAlignment="1">
      <alignment horizontal="center" vertical="center"/>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 fillId="0" borderId="15" xfId="0" applyFont="1" applyBorder="1" applyAlignment="1"/>
    <xf numFmtId="0" fontId="1" fillId="0" borderId="14" xfId="0" applyFont="1" applyBorder="1" applyAlignment="1">
      <alignment horizontal="center" vertical="center" wrapText="1"/>
    </xf>
    <xf numFmtId="0" fontId="1" fillId="0" borderId="7" xfId="0" applyFont="1" applyBorder="1" applyAlignment="1">
      <alignment horizontal="center"/>
    </xf>
    <xf numFmtId="0" fontId="1" fillId="0" borderId="15" xfId="0" applyFont="1" applyBorder="1" applyAlignment="1">
      <alignment horizontal="center"/>
    </xf>
    <xf numFmtId="0" fontId="1" fillId="0" borderId="9" xfId="0" applyFont="1" applyBorder="1" applyAlignment="1">
      <alignment horizontal="center" vertical="center"/>
    </xf>
    <xf numFmtId="0" fontId="1" fillId="0" borderId="9" xfId="0" applyFont="1" applyBorder="1">
      <alignment vertical="center"/>
    </xf>
    <xf numFmtId="0" fontId="1" fillId="0" borderId="10" xfId="0" applyFont="1" applyBorder="1" applyAlignment="1">
      <alignment vertical="center" wrapText="1"/>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0" xfId="0" applyFont="1" applyAlignment="1">
      <alignment horizontal="center"/>
    </xf>
    <xf numFmtId="0" fontId="4" fillId="0" borderId="0" xfId="0" applyFont="1" applyAlignment="1"/>
    <xf numFmtId="0" fontId="4" fillId="0" borderId="0" xfId="0" applyFont="1" applyAlignment="1">
      <alignment horizontal="center"/>
    </xf>
    <xf numFmtId="0" fontId="1" fillId="0" borderId="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0" fontId="3" fillId="2" borderId="28" xfId="0" applyFont="1" applyFill="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3" fillId="2" borderId="31" xfId="0" applyFont="1" applyFill="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1" fillId="0" borderId="33" xfId="0" applyFont="1" applyBorder="1" applyAlignment="1"/>
    <xf numFmtId="0" fontId="1" fillId="0" borderId="32" xfId="0" applyFont="1" applyBorder="1" applyAlignment="1"/>
    <xf numFmtId="0" fontId="1" fillId="0" borderId="34" xfId="0" applyFont="1" applyBorder="1" applyAlignment="1"/>
    <xf numFmtId="0" fontId="1" fillId="0" borderId="29" xfId="0" applyFont="1" applyBorder="1" applyAlignment="1"/>
    <xf numFmtId="0" fontId="5" fillId="0" borderId="0" xfId="0" applyFont="1" applyAlignment="1">
      <alignment horizontal="center"/>
    </xf>
    <xf numFmtId="0" fontId="1" fillId="0" borderId="0" xfId="0" applyFont="1" applyAlignment="1">
      <alignment horizontal="right"/>
    </xf>
    <xf numFmtId="0" fontId="1" fillId="0" borderId="28" xfId="0" applyFont="1" applyBorder="1" applyAlignment="1"/>
    <xf numFmtId="0" fontId="1" fillId="0" borderId="35" xfId="0" applyFont="1" applyBorder="1" applyAlignment="1"/>
    <xf numFmtId="0" fontId="1" fillId="0" borderId="36" xfId="0" applyFont="1" applyBorder="1" applyAlignment="1"/>
    <xf numFmtId="0" fontId="3" fillId="0" borderId="0" xfId="0" applyNumberFormat="1" applyFont="1" applyAlignment="1"/>
    <xf numFmtId="0" fontId="6" fillId="0" borderId="8" xfId="0" applyFont="1" applyBorder="1" applyAlignment="1">
      <alignment horizontal="center" vertical="center"/>
    </xf>
    <xf numFmtId="0" fontId="6" fillId="0" borderId="28" xfId="0" applyFont="1" applyBorder="1" applyAlignment="1">
      <alignment horizontal="center" vertical="center"/>
    </xf>
    <xf numFmtId="0" fontId="6" fillId="0" borderId="2" xfId="0" applyFont="1" applyBorder="1" applyAlignment="1">
      <alignment horizontal="center" vertical="center"/>
    </xf>
    <xf numFmtId="0" fontId="6" fillId="0" borderId="37" xfId="0" applyFont="1" applyBorder="1" applyAlignment="1">
      <alignment horizontal="center"/>
    </xf>
    <xf numFmtId="0" fontId="6" fillId="0" borderId="3" xfId="0" applyFont="1" applyBorder="1" applyAlignment="1">
      <alignment horizontal="center"/>
    </xf>
    <xf numFmtId="0" fontId="6" fillId="0" borderId="31" xfId="0" applyFont="1" applyBorder="1" applyAlignment="1">
      <alignment horizontal="center"/>
    </xf>
    <xf numFmtId="0" fontId="6" fillId="0" borderId="10" xfId="0" applyFont="1" applyBorder="1" applyAlignment="1">
      <alignment horizontal="center" vertical="center"/>
    </xf>
    <xf numFmtId="0" fontId="6" fillId="0" borderId="35"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Continuous"/>
    </xf>
    <xf numFmtId="0" fontId="6" fillId="0" borderId="2" xfId="0" applyFont="1" applyBorder="1" applyAlignment="1">
      <alignment horizontal="center"/>
    </xf>
    <xf numFmtId="0" fontId="3" fillId="0" borderId="14" xfId="0" applyFont="1" applyBorder="1" applyAlignment="1">
      <alignment horizontal="center" vertical="center"/>
    </xf>
    <xf numFmtId="0" fontId="3" fillId="0" borderId="0" xfId="0" applyFont="1" applyAlignment="1">
      <alignment horizontal="center" vertical="center"/>
    </xf>
    <xf numFmtId="0" fontId="1" fillId="0" borderId="38" xfId="0" applyFont="1" applyBorder="1" applyAlignment="1"/>
    <xf numFmtId="0" fontId="1" fillId="0" borderId="39" xfId="0" applyFont="1" applyBorder="1" applyAlignment="1"/>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1" fillId="0" borderId="40" xfId="0" applyFont="1" applyBorder="1" applyAlignment="1"/>
    <xf numFmtId="0" fontId="3" fillId="0" borderId="8" xfId="0" applyFont="1" applyBorder="1" applyAlignment="1">
      <alignment horizontal="center" vertical="center"/>
    </xf>
    <xf numFmtId="0" fontId="3" fillId="0" borderId="6" xfId="0" applyFont="1" applyBorder="1" applyAlignment="1">
      <alignment horizontal="center" vertical="center"/>
    </xf>
    <xf numFmtId="20" fontId="1" fillId="0" borderId="39" xfId="0" applyNumberFormat="1" applyFont="1" applyBorder="1" applyAlignment="1"/>
    <xf numFmtId="20" fontId="1" fillId="0" borderId="40" xfId="0" applyNumberFormat="1" applyFont="1" applyBorder="1" applyAlignment="1"/>
    <xf numFmtId="0" fontId="1" fillId="0" borderId="41" xfId="0" applyFont="1" applyBorder="1" applyAlignment="1"/>
    <xf numFmtId="0" fontId="1" fillId="0" borderId="30" xfId="0" applyFont="1" applyBorder="1" applyAlignment="1"/>
    <xf numFmtId="0" fontId="7" fillId="0" borderId="8" xfId="0" applyFont="1" applyBorder="1" applyAlignment="1">
      <alignment horizontal="center" vertical="center"/>
    </xf>
    <xf numFmtId="0" fontId="7" fillId="0" borderId="28" xfId="0" applyFont="1" applyBorder="1" applyAlignment="1">
      <alignment horizontal="center" vertical="center"/>
    </xf>
    <xf numFmtId="0" fontId="1" fillId="0" borderId="38" xfId="0" applyFont="1" applyBorder="1" applyAlignment="1">
      <alignment horizontal="center"/>
    </xf>
    <xf numFmtId="0" fontId="7" fillId="0" borderId="14" xfId="0" applyFont="1" applyBorder="1" applyAlignment="1">
      <alignment horizontal="center" vertical="center"/>
    </xf>
    <xf numFmtId="0" fontId="7" fillId="0" borderId="36" xfId="0" applyFont="1" applyBorder="1" applyAlignment="1">
      <alignment horizontal="center" vertical="center"/>
    </xf>
    <xf numFmtId="0" fontId="1" fillId="0" borderId="39" xfId="0" applyFont="1" applyBorder="1" applyAlignment="1">
      <alignment horizontal="center"/>
    </xf>
    <xf numFmtId="0" fontId="1" fillId="0" borderId="34" xfId="0" applyFont="1" applyBorder="1" applyAlignment="1">
      <alignment horizontal="center"/>
    </xf>
    <xf numFmtId="0" fontId="7" fillId="0" borderId="10" xfId="0" applyFont="1" applyBorder="1" applyAlignment="1">
      <alignment horizontal="center" vertical="center"/>
    </xf>
    <xf numFmtId="0" fontId="7" fillId="0" borderId="35" xfId="0" applyFont="1" applyBorder="1" applyAlignment="1">
      <alignment horizontal="center" vertical="center"/>
    </xf>
    <xf numFmtId="0" fontId="1" fillId="0" borderId="40" xfId="0" applyFont="1" applyBorder="1" applyAlignment="1">
      <alignment horizontal="center"/>
    </xf>
    <xf numFmtId="0" fontId="7" fillId="0" borderId="14" xfId="0" applyFont="1" applyBorder="1" applyAlignment="1">
      <alignment horizontal="center" vertical="center" wrapText="1"/>
    </xf>
    <xf numFmtId="0" fontId="7" fillId="0" borderId="0" xfId="0" applyFont="1" applyAlignment="1">
      <alignment horizontal="center" vertical="center" wrapText="1"/>
    </xf>
    <xf numFmtId="0" fontId="1" fillId="0" borderId="42" xfId="0" applyFont="1" applyBorder="1" applyAlignment="1"/>
    <xf numFmtId="0" fontId="1" fillId="0" borderId="43" xfId="0" applyFont="1" applyBorder="1" applyAlignment="1"/>
    <xf numFmtId="0" fontId="7" fillId="0" borderId="1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3" fillId="0" borderId="0" xfId="0" applyFont="1" applyAlignment="1">
      <alignment vertical="top"/>
    </xf>
    <xf numFmtId="0" fontId="1" fillId="0" borderId="37" xfId="0" applyFont="1" applyBorder="1" applyAlignment="1">
      <alignment horizontal="left" vertical="top" wrapText="1"/>
    </xf>
    <xf numFmtId="0" fontId="1" fillId="0" borderId="3" xfId="0" applyFont="1" applyBorder="1" applyAlignment="1">
      <alignment horizontal="left" vertical="top" wrapText="1"/>
    </xf>
    <xf numFmtId="0" fontId="1" fillId="0" borderId="31" xfId="0" applyFont="1" applyBorder="1" applyAlignment="1">
      <alignment horizontal="left" vertical="top" wrapText="1"/>
    </xf>
    <xf numFmtId="0" fontId="0" fillId="0" borderId="0" xfId="0" applyAlignment="1"/>
    <xf numFmtId="0" fontId="0" fillId="0" borderId="0" xfId="0" applyFont="1" applyAlignment="1"/>
    <xf numFmtId="0" fontId="4" fillId="0" borderId="0" xfId="0" applyFont="1" applyAlignment="1">
      <alignment horizontal="left"/>
    </xf>
    <xf numFmtId="0" fontId="6" fillId="0" borderId="8" xfId="0" applyFont="1" applyBorder="1" applyAlignment="1">
      <alignment horizontal="centerContinuous"/>
    </xf>
    <xf numFmtId="0" fontId="6" fillId="0" borderId="28" xfId="0" applyFont="1" applyBorder="1" applyAlignment="1">
      <alignment horizontal="centerContinuous"/>
    </xf>
    <xf numFmtId="0" fontId="1" fillId="0" borderId="38" xfId="0" applyFont="1" applyBorder="1" applyAlignment="1">
      <alignment horizontal="centerContinuous"/>
    </xf>
    <xf numFmtId="0" fontId="1" fillId="0" borderId="32" xfId="0" applyFont="1" applyBorder="1" applyAlignment="1">
      <alignment horizontal="centerContinuous"/>
    </xf>
    <xf numFmtId="0" fontId="1" fillId="0" borderId="39" xfId="0" applyFont="1" applyBorder="1" applyAlignment="1">
      <alignment horizontal="centerContinuous"/>
    </xf>
    <xf numFmtId="0" fontId="1" fillId="0" borderId="34" xfId="0" applyFont="1" applyBorder="1" applyAlignment="1">
      <alignment horizontal="centerContinuous"/>
    </xf>
    <xf numFmtId="0" fontId="1" fillId="0" borderId="40" xfId="0" applyFont="1" applyBorder="1" applyAlignment="1">
      <alignment horizontal="centerContinuous"/>
    </xf>
    <xf numFmtId="0" fontId="1" fillId="0" borderId="33" xfId="0" applyFont="1" applyBorder="1" applyAlignment="1">
      <alignment horizontal="centerContinuous"/>
    </xf>
    <xf numFmtId="0" fontId="1" fillId="0" borderId="41" xfId="0" applyFont="1" applyBorder="1" applyAlignment="1">
      <alignment horizontal="centerContinuous"/>
    </xf>
    <xf numFmtId="0" fontId="1" fillId="0" borderId="30" xfId="0" applyFont="1" applyBorder="1" applyAlignment="1">
      <alignment horizontal="centerContinuous"/>
    </xf>
    <xf numFmtId="0" fontId="1" fillId="0" borderId="42" xfId="0" applyFont="1" applyBorder="1" applyAlignment="1">
      <alignment horizontal="centerContinuous"/>
    </xf>
    <xf numFmtId="0" fontId="1" fillId="0" borderId="29" xfId="0" applyFont="1" applyBorder="1" applyAlignment="1">
      <alignment horizontal="centerContinuous"/>
    </xf>
    <xf numFmtId="0" fontId="1" fillId="0" borderId="37" xfId="0" applyFont="1" applyBorder="1" applyAlignment="1">
      <alignment horizontal="justify" vertical="top" wrapText="1"/>
    </xf>
    <xf numFmtId="0" fontId="1" fillId="0" borderId="3" xfId="0" applyFont="1" applyBorder="1" applyAlignment="1">
      <alignment horizontal="justify" vertical="top" wrapText="1"/>
    </xf>
    <xf numFmtId="0" fontId="1" fillId="0" borderId="31" xfId="0" applyFont="1" applyBorder="1" applyAlignment="1">
      <alignment horizontal="justify" vertical="top" wrapText="1"/>
    </xf>
    <xf numFmtId="0" fontId="1" fillId="0" borderId="0" xfId="0" applyFont="1" applyAlignment="1">
      <alignment horizontal="left" vertical="top"/>
    </xf>
    <xf numFmtId="0" fontId="6" fillId="0" borderId="8" xfId="0" applyFont="1" applyBorder="1" applyAlignment="1">
      <alignment horizontal="center"/>
    </xf>
    <xf numFmtId="0" fontId="6" fillId="0" borderId="28" xfId="0" applyFont="1" applyBorder="1" applyAlignment="1">
      <alignment horizontal="center"/>
    </xf>
    <xf numFmtId="0" fontId="0" fillId="0" borderId="37" xfId="0" applyFont="1" applyBorder="1" applyAlignment="1">
      <alignment horizontal="justify" vertical="top" wrapText="1"/>
    </xf>
    <xf numFmtId="0" fontId="0" fillId="0" borderId="3" xfId="0" applyFont="1" applyBorder="1" applyAlignment="1">
      <alignment horizontal="justify" vertical="top" wrapText="1"/>
    </xf>
    <xf numFmtId="0" fontId="0" fillId="0" borderId="31" xfId="0" applyFont="1" applyBorder="1" applyAlignment="1">
      <alignment horizontal="justify" vertical="top" wrapText="1"/>
    </xf>
    <xf numFmtId="0" fontId="6" fillId="0" borderId="37" xfId="0" applyFont="1" applyBorder="1" applyAlignment="1">
      <alignment horizontal="center" vertical="center"/>
    </xf>
    <xf numFmtId="0" fontId="6" fillId="0" borderId="3" xfId="0" applyFont="1" applyBorder="1" applyAlignment="1">
      <alignment horizontal="center" vertical="center"/>
    </xf>
    <xf numFmtId="0" fontId="6" fillId="0" borderId="31" xfId="0" applyFont="1" applyBorder="1" applyAlignment="1">
      <alignment horizontal="center" vertical="center"/>
    </xf>
    <xf numFmtId="0" fontId="0" fillId="0" borderId="0" xfId="0" applyAlignment="1">
      <alignment horizontal="justify"/>
    </xf>
    <xf numFmtId="0" fontId="0" fillId="0" borderId="37" xfId="0" applyFont="1" applyBorder="1" applyAlignment="1">
      <alignment horizontal="left" vertical="top" wrapText="1"/>
    </xf>
    <xf numFmtId="0" fontId="0" fillId="0" borderId="3" xfId="0" applyFont="1" applyBorder="1" applyAlignment="1">
      <alignment horizontal="left" vertical="top" wrapText="1"/>
    </xf>
    <xf numFmtId="0" fontId="0" fillId="0" borderId="31" xfId="0" applyFont="1" applyBorder="1" applyAlignment="1">
      <alignment horizontal="left" vertical="top" wrapText="1"/>
    </xf>
    <xf numFmtId="178" fontId="3" fillId="0" borderId="0" xfId="0" applyNumberFormat="1" applyFont="1" applyAlignment="1"/>
    <xf numFmtId="0" fontId="6" fillId="0" borderId="8" xfId="0" applyFont="1" applyBorder="1" applyAlignment="1">
      <alignment vertical="center"/>
    </xf>
    <xf numFmtId="0" fontId="6" fillId="0" borderId="10" xfId="0" applyFont="1" applyBorder="1" applyAlignment="1">
      <alignment vertical="center"/>
    </xf>
    <xf numFmtId="0" fontId="6" fillId="0" borderId="14" xfId="0" applyFont="1" applyBorder="1" applyAlignment="1">
      <alignment vertical="center"/>
    </xf>
    <xf numFmtId="0" fontId="3" fillId="0" borderId="8" xfId="0" applyFont="1" applyBorder="1" applyAlignment="1">
      <alignment horizontal="centerContinuous" vertical="center"/>
    </xf>
    <xf numFmtId="0" fontId="1" fillId="0" borderId="8" xfId="0" applyFont="1" applyBorder="1" applyAlignment="1">
      <alignment horizontal="centerContinuous"/>
    </xf>
    <xf numFmtId="0" fontId="3" fillId="0" borderId="14" xfId="0" applyFont="1" applyBorder="1" applyAlignment="1">
      <alignment horizontal="centerContinuous" vertical="center"/>
    </xf>
    <xf numFmtId="0" fontId="1" fillId="0" borderId="14" xfId="0" applyFont="1" applyBorder="1" applyAlignment="1">
      <alignment horizontal="centerContinuous"/>
    </xf>
    <xf numFmtId="0" fontId="3" fillId="0" borderId="10" xfId="0" applyFont="1" applyBorder="1" applyAlignment="1">
      <alignment horizontal="centerContinuous" vertical="center"/>
    </xf>
    <xf numFmtId="0" fontId="1" fillId="0" borderId="10" xfId="0" applyFont="1" applyBorder="1" applyAlignment="1">
      <alignment horizontal="centerContinuous"/>
    </xf>
    <xf numFmtId="20" fontId="1" fillId="0" borderId="14" xfId="0" applyNumberFormat="1" applyFont="1" applyBorder="1" applyAlignment="1">
      <alignment horizontal="centerContinuous"/>
    </xf>
    <xf numFmtId="20" fontId="1" fillId="0" borderId="10" xfId="0" applyNumberFormat="1" applyFont="1" applyBorder="1" applyAlignment="1">
      <alignment horizontal="centerContinuous"/>
    </xf>
    <xf numFmtId="0" fontId="7" fillId="0" borderId="8" xfId="0" applyFont="1" applyBorder="1" applyAlignment="1">
      <alignment horizontal="centerContinuous" vertical="center"/>
    </xf>
    <xf numFmtId="0" fontId="7" fillId="0" borderId="14" xfId="0" applyFont="1" applyBorder="1" applyAlignment="1">
      <alignment horizontal="centerContinuous" vertical="center"/>
    </xf>
    <xf numFmtId="0" fontId="7" fillId="0" borderId="10" xfId="0" applyFont="1" applyBorder="1" applyAlignment="1">
      <alignment horizontal="centerContinuous" vertical="center"/>
    </xf>
    <xf numFmtId="0" fontId="7" fillId="0" borderId="8" xfId="0" applyFont="1" applyBorder="1" applyAlignment="1">
      <alignment horizontal="centerContinuous" vertical="center" wrapText="1"/>
    </xf>
    <xf numFmtId="0" fontId="7" fillId="0" borderId="10" xfId="0" applyFont="1" applyBorder="1" applyAlignment="1">
      <alignment horizontal="centerContinuous" vertical="center" wrapText="1"/>
    </xf>
    <xf numFmtId="0" fontId="7" fillId="0" borderId="14" xfId="0" applyFont="1" applyBorder="1" applyAlignment="1">
      <alignment horizontal="centerContinuous" vertical="center" wrapText="1"/>
    </xf>
    <xf numFmtId="0" fontId="1" fillId="0" borderId="37" xfId="0" applyFont="1" applyBorder="1" applyAlignment="1">
      <alignment horizontal="center"/>
    </xf>
    <xf numFmtId="0" fontId="1" fillId="0" borderId="3" xfId="0" applyFont="1" applyBorder="1" applyAlignment="1">
      <alignment horizontal="center"/>
    </xf>
    <xf numFmtId="0" fontId="1" fillId="0" borderId="31" xfId="0" applyFont="1" applyBorder="1" applyAlignment="1">
      <alignment horizontal="center"/>
    </xf>
    <xf numFmtId="0" fontId="1" fillId="0" borderId="8" xfId="0" applyFont="1" applyBorder="1" applyAlignment="1"/>
    <xf numFmtId="0" fontId="1" fillId="0" borderId="14" xfId="0" applyFont="1" applyBorder="1" applyAlignment="1"/>
    <xf numFmtId="0" fontId="1" fillId="0" borderId="10" xfId="0" applyFont="1" applyBorder="1" applyAlignment="1"/>
    <xf numFmtId="20" fontId="1" fillId="0" borderId="14" xfId="0" applyNumberFormat="1" applyFont="1" applyBorder="1" applyAlignment="1"/>
    <xf numFmtId="20" fontId="1" fillId="0" borderId="10" xfId="0" applyNumberFormat="1" applyFont="1" applyBorder="1" applyAlignment="1"/>
    <xf numFmtId="0" fontId="1" fillId="0" borderId="23" xfId="0" applyFont="1" applyBorder="1" applyAlignment="1">
      <alignment horizontal="center" vertical="center"/>
    </xf>
    <xf numFmtId="0" fontId="1" fillId="3" borderId="23" xfId="0" applyFont="1" applyFill="1" applyBorder="1" applyAlignment="1">
      <alignment horizontal="center" vertical="center"/>
    </xf>
    <xf numFmtId="0" fontId="1" fillId="4" borderId="23" xfId="0" applyFont="1" applyFill="1" applyBorder="1" applyAlignment="1">
      <alignment horizontal="center" vertical="center"/>
    </xf>
    <xf numFmtId="0" fontId="1" fillId="5" borderId="23" xfId="0" applyFont="1" applyFill="1" applyBorder="1" applyAlignment="1">
      <alignment horizontal="center" vertical="center"/>
    </xf>
    <xf numFmtId="0" fontId="1" fillId="6" borderId="23" xfId="0" applyFont="1" applyFill="1" applyBorder="1" applyAlignment="1">
      <alignment horizontal="center" vertical="center"/>
    </xf>
    <xf numFmtId="0" fontId="8" fillId="7" borderId="23" xfId="0" applyFont="1" applyFill="1" applyBorder="1" applyAlignment="1">
      <alignment horizontal="center" vertical="center"/>
    </xf>
    <xf numFmtId="0" fontId="9" fillId="7" borderId="23" xfId="0" applyFont="1" applyFill="1" applyBorder="1" applyAlignment="1">
      <alignment horizontal="center" vertical="center"/>
    </xf>
    <xf numFmtId="0" fontId="10" fillId="0" borderId="23" xfId="0" applyFont="1" applyFill="1" applyBorder="1" applyAlignment="1">
      <alignment horizontal="left" vertical="center" indent="1"/>
    </xf>
    <xf numFmtId="0" fontId="1" fillId="0" borderId="23" xfId="0" applyFont="1" applyBorder="1">
      <alignment vertical="center"/>
    </xf>
    <xf numFmtId="0" fontId="1" fillId="0" borderId="23" xfId="0" applyFont="1" applyBorder="1" applyAlignment="1">
      <alignment horizontal="justify" vertical="top" wrapText="1"/>
    </xf>
    <xf numFmtId="0" fontId="6" fillId="0" borderId="0" xfId="0" applyFont="1" applyAlignment="1">
      <alignment horizontal="center" vertical="center" wrapText="1"/>
    </xf>
    <xf numFmtId="0" fontId="0" fillId="0" borderId="1" xfId="0" applyBorder="1" applyAlignment="1"/>
    <xf numFmtId="0" fontId="6" fillId="0" borderId="1" xfId="0" applyFont="1" applyBorder="1" applyAlignment="1">
      <alignment horizontal="center" vertical="center" wrapText="1"/>
    </xf>
    <xf numFmtId="0" fontId="3" fillId="0" borderId="0" xfId="0" applyFont="1">
      <alignment vertical="center"/>
    </xf>
    <xf numFmtId="0" fontId="7" fillId="0" borderId="0" xfId="0" applyFont="1" applyAlignment="1"/>
    <xf numFmtId="0" fontId="3" fillId="2" borderId="44" xfId="0" applyFont="1" applyFill="1" applyBorder="1" applyAlignment="1">
      <alignment horizontal="center"/>
    </xf>
    <xf numFmtId="0" fontId="3" fillId="2" borderId="45" xfId="0" applyFont="1" applyFill="1" applyBorder="1" applyAlignment="1">
      <alignment horizontal="center"/>
    </xf>
    <xf numFmtId="0" fontId="3" fillId="2" borderId="23" xfId="0" applyFont="1" applyFill="1" applyBorder="1" applyAlignment="1">
      <alignment horizontal="center"/>
    </xf>
    <xf numFmtId="0" fontId="3" fillId="2" borderId="46" xfId="0" applyFont="1" applyFill="1" applyBorder="1" applyAlignment="1">
      <alignment horizontal="center"/>
    </xf>
    <xf numFmtId="0" fontId="1" fillId="0" borderId="23" xfId="0" applyFont="1" applyBorder="1" applyAlignment="1">
      <alignment horizontal="left" vertical="center"/>
    </xf>
    <xf numFmtId="0" fontId="1" fillId="0" borderId="44" xfId="0" applyFont="1" applyBorder="1" applyAlignment="1">
      <alignment horizontal="left" vertical="center"/>
    </xf>
    <xf numFmtId="0" fontId="1" fillId="0" borderId="46" xfId="0" applyFont="1" applyBorder="1" applyAlignment="1">
      <alignment horizontal="left" vertical="center"/>
    </xf>
    <xf numFmtId="0" fontId="1" fillId="0" borderId="23" xfId="0" applyFont="1" applyBorder="1" applyAlignment="1"/>
    <xf numFmtId="0" fontId="1" fillId="0" borderId="44" xfId="0" applyFont="1" applyBorder="1" applyAlignment="1">
      <alignment horizontal="center"/>
    </xf>
    <xf numFmtId="0" fontId="1" fillId="0" borderId="46" xfId="0" applyFont="1" applyBorder="1" applyAlignment="1">
      <alignment horizontal="center"/>
    </xf>
    <xf numFmtId="0" fontId="3" fillId="0" borderId="0" xfId="0" applyFont="1" applyAlignment="1">
      <alignment horizontal="center"/>
    </xf>
    <xf numFmtId="0" fontId="3" fillId="0" borderId="0" xfId="0" applyFont="1" applyAlignment="1">
      <alignment wrapText="1"/>
    </xf>
    <xf numFmtId="0" fontId="0" fillId="0" borderId="0" xfId="0" applyAlignment="1">
      <alignment vertical="top"/>
    </xf>
    <xf numFmtId="0" fontId="3" fillId="0" borderId="1" xfId="0" applyFont="1" applyBorder="1" applyAlignment="1">
      <alignment wrapText="1"/>
    </xf>
    <xf numFmtId="0" fontId="1" fillId="0" borderId="45" xfId="0" applyFont="1" applyBorder="1" applyAlignment="1">
      <alignment horizontal="left" vertical="center"/>
    </xf>
    <xf numFmtId="0" fontId="1" fillId="0" borderId="45" xfId="0" applyFont="1" applyBorder="1" applyAlignment="1">
      <alignment horizontal="center"/>
    </xf>
    <xf numFmtId="0" fontId="3" fillId="0" borderId="0" xfId="0" applyFont="1" applyAlignment="1">
      <alignment horizontal="center" wrapText="1"/>
    </xf>
    <xf numFmtId="0" fontId="3" fillId="0" borderId="1" xfId="0" applyFont="1" applyBorder="1" applyAlignment="1">
      <alignment horizontal="center" wrapText="1"/>
    </xf>
    <xf numFmtId="0" fontId="0" fillId="0" borderId="23" xfId="0" applyBorder="1" applyAlignment="1">
      <alignment horizontal="left" vertical="center"/>
    </xf>
    <xf numFmtId="0" fontId="0" fillId="0" borderId="23" xfId="0" applyBorder="1" applyAlignment="1">
      <alignment horizontal="center" vertical="center"/>
    </xf>
    <xf numFmtId="0" fontId="0" fillId="0" borderId="44" xfId="0" applyBorder="1" applyAlignment="1">
      <alignment horizontal="left" vertical="center"/>
    </xf>
    <xf numFmtId="0" fontId="0" fillId="0" borderId="46" xfId="0" applyBorder="1" applyAlignment="1">
      <alignment horizontal="left" vertical="center"/>
    </xf>
    <xf numFmtId="0" fontId="0" fillId="0" borderId="0" xfId="0" applyAlignment="1">
      <alignment horizontal="center"/>
    </xf>
    <xf numFmtId="0" fontId="0" fillId="0" borderId="45" xfId="0" applyBorder="1" applyAlignment="1">
      <alignment horizontal="left" vertical="center"/>
    </xf>
    <xf numFmtId="0" fontId="0" fillId="0" borderId="0" xfId="0" applyFont="1">
      <alignment vertical="center"/>
    </xf>
    <xf numFmtId="0" fontId="1" fillId="0" borderId="1" xfId="0" applyFont="1" applyBorder="1" applyAlignment="1"/>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2" xfId="0" applyFont="1" applyFill="1" applyBorder="1" applyAlignment="1">
      <alignment horizontal="center"/>
    </xf>
    <xf numFmtId="0" fontId="3" fillId="8" borderId="47" xfId="0" applyFont="1" applyFill="1" applyBorder="1" applyAlignment="1">
      <alignment horizontal="center"/>
    </xf>
    <xf numFmtId="0" fontId="3" fillId="8" borderId="17" xfId="0" applyFont="1" applyFill="1" applyBorder="1" applyAlignment="1">
      <alignment horizontal="center"/>
    </xf>
    <xf numFmtId="0" fontId="1" fillId="0" borderId="48" xfId="0" applyFont="1" applyBorder="1" applyAlignment="1">
      <alignment horizontal="center" vertical="center"/>
    </xf>
    <xf numFmtId="0" fontId="1" fillId="0" borderId="43" xfId="0" applyFont="1" applyBorder="1">
      <alignment vertical="center"/>
    </xf>
    <xf numFmtId="0" fontId="1" fillId="0" borderId="42" xfId="0" applyFont="1" applyBorder="1" applyAlignment="1">
      <alignment horizontal="center" vertical="center"/>
    </xf>
    <xf numFmtId="0" fontId="1" fillId="0" borderId="7" xfId="0" applyNumberFormat="1" applyFont="1" applyBorder="1" applyAlignment="1">
      <alignment horizontal="center" vertical="center"/>
    </xf>
    <xf numFmtId="0" fontId="1" fillId="0" borderId="32" xfId="0" applyFont="1" applyBorder="1" applyAlignment="1">
      <alignment horizontal="center" vertical="center"/>
    </xf>
    <xf numFmtId="0" fontId="1" fillId="0" borderId="49" xfId="0" applyFont="1" applyBorder="1" applyAlignment="1">
      <alignment horizontal="left" vertical="top" wrapText="1"/>
    </xf>
    <xf numFmtId="0" fontId="1" fillId="0" borderId="50" xfId="0" applyFont="1" applyBorder="1" applyAlignment="1">
      <alignment horizontal="left" vertical="top" wrapText="1"/>
    </xf>
    <xf numFmtId="0" fontId="1" fillId="0" borderId="46" xfId="0" applyFont="1" applyBorder="1" applyAlignment="1">
      <alignment horizontal="center" vertical="center"/>
    </xf>
    <xf numFmtId="0" fontId="1" fillId="0" borderId="5" xfId="0" applyFont="1" applyBorder="1">
      <alignment vertical="center"/>
    </xf>
    <xf numFmtId="0" fontId="1" fillId="0" borderId="5" xfId="0" applyNumberFormat="1" applyFont="1" applyBorder="1" applyAlignment="1">
      <alignment horizontal="center" vertical="center"/>
    </xf>
    <xf numFmtId="0" fontId="1" fillId="0" borderId="29" xfId="0" applyFont="1" applyBorder="1" applyAlignment="1">
      <alignment horizontal="center" vertical="center"/>
    </xf>
    <xf numFmtId="0" fontId="1" fillId="0" borderId="19" xfId="0" applyFont="1" applyBorder="1" applyAlignment="1">
      <alignment horizontal="left" vertical="top" wrapText="1"/>
    </xf>
    <xf numFmtId="0" fontId="1" fillId="0" borderId="20" xfId="0" applyFont="1" applyBorder="1" applyAlignment="1">
      <alignment horizontal="left" vertical="top" wrapText="1"/>
    </xf>
    <xf numFmtId="0" fontId="1" fillId="0" borderId="19" xfId="0" applyFont="1" applyBorder="1" applyAlignment="1">
      <alignment horizontal="justify" vertical="top" wrapText="1"/>
    </xf>
    <xf numFmtId="0" fontId="1" fillId="0" borderId="20" xfId="0" applyFont="1" applyBorder="1" applyAlignment="1">
      <alignment horizontal="justify" vertical="top" wrapText="1"/>
    </xf>
    <xf numFmtId="0" fontId="1" fillId="0" borderId="51" xfId="0" applyFont="1" applyBorder="1" applyAlignment="1">
      <alignment horizontal="center" vertical="center"/>
    </xf>
    <xf numFmtId="0" fontId="1" fillId="0" borderId="15" xfId="0" applyFont="1" applyBorder="1" applyAlignment="1">
      <alignment horizontal="left" vertical="center"/>
    </xf>
    <xf numFmtId="0" fontId="1" fillId="0" borderId="11" xfId="0" applyNumberFormat="1" applyFont="1" applyBorder="1" applyAlignment="1">
      <alignment horizontal="center" vertical="center"/>
    </xf>
    <xf numFmtId="0" fontId="1" fillId="0" borderId="35" xfId="0" applyFont="1" applyBorder="1" applyAlignment="1">
      <alignment horizontal="center" vertical="center"/>
    </xf>
    <xf numFmtId="0" fontId="1" fillId="0" borderId="52" xfId="0" applyFont="1" applyBorder="1" applyAlignment="1">
      <alignment horizontal="left" vertical="top" wrapText="1"/>
    </xf>
    <xf numFmtId="0" fontId="1" fillId="0" borderId="53" xfId="0" applyFont="1" applyBorder="1" applyAlignment="1">
      <alignment horizontal="left" vertical="top" wrapText="1"/>
    </xf>
    <xf numFmtId="0" fontId="3" fillId="0" borderId="54" xfId="0" applyFont="1" applyBorder="1" applyAlignment="1"/>
    <xf numFmtId="0" fontId="3" fillId="0" borderId="43" xfId="0" applyFont="1" applyBorder="1" applyAlignment="1">
      <alignment horizontal="center" vertical="center"/>
    </xf>
    <xf numFmtId="0" fontId="1" fillId="0" borderId="0" xfId="0" applyFont="1">
      <alignment vertical="center"/>
    </xf>
    <xf numFmtId="0" fontId="1" fillId="0" borderId="0" xfId="0" applyFont="1" applyAlignment="1">
      <alignment vertical="center" wrapText="1"/>
    </xf>
    <xf numFmtId="0" fontId="3" fillId="0" borderId="55" xfId="0" applyFont="1" applyBorder="1" applyAlignment="1"/>
    <xf numFmtId="1" fontId="3" fillId="0" borderId="11" xfId="0" applyNumberFormat="1" applyFont="1" applyBorder="1" applyAlignment="1">
      <alignment horizontal="center" vertical="center"/>
    </xf>
    <xf numFmtId="0" fontId="3" fillId="2" borderId="37"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2" borderId="37"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7" xfId="0" applyFont="1" applyFill="1" applyBorder="1" applyAlignment="1">
      <alignment horizontal="center" vertical="center"/>
    </xf>
    <xf numFmtId="0" fontId="1" fillId="0" borderId="54" xfId="0" applyFont="1" applyBorder="1" applyAlignment="1">
      <alignment horizontal="center"/>
    </xf>
    <xf numFmtId="0" fontId="1" fillId="0" borderId="38" xfId="0" applyFont="1" applyBorder="1">
      <alignment vertical="center"/>
    </xf>
    <xf numFmtId="0" fontId="1" fillId="0" borderId="7"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0" fontId="0" fillId="0" borderId="56" xfId="0" applyFont="1" applyBorder="1" applyAlignment="1">
      <alignment vertical="center"/>
    </xf>
    <xf numFmtId="0" fontId="1" fillId="0" borderId="45" xfId="0" applyFont="1" applyBorder="1" applyAlignment="1"/>
    <xf numFmtId="0" fontId="1" fillId="0" borderId="55" xfId="0" applyFont="1" applyBorder="1" applyAlignment="1">
      <alignment horizontal="center"/>
    </xf>
    <xf numFmtId="0" fontId="1" fillId="0" borderId="11" xfId="0" applyFont="1" applyBorder="1" applyAlignment="1">
      <alignment horizontal="center" vertical="center"/>
    </xf>
    <xf numFmtId="0" fontId="1" fillId="0" borderId="57" xfId="0" applyFont="1" applyBorder="1" applyAlignment="1"/>
    <xf numFmtId="178" fontId="1" fillId="0" borderId="0" xfId="0" applyNumberFormat="1" applyFont="1" applyAlignment="1"/>
    <xf numFmtId="0" fontId="1" fillId="0" borderId="0" xfId="0" applyFont="1" applyAlignment="1">
      <alignment vertical="top"/>
    </xf>
    <xf numFmtId="0" fontId="7" fillId="0" borderId="0" xfId="0" applyFont="1">
      <alignment vertical="center"/>
    </xf>
    <xf numFmtId="0" fontId="3" fillId="8" borderId="18" xfId="0" applyFont="1" applyFill="1" applyBorder="1" applyAlignment="1">
      <alignment horizontal="center"/>
    </xf>
    <xf numFmtId="0" fontId="1" fillId="0" borderId="58" xfId="0" applyFont="1" applyBorder="1" applyAlignment="1">
      <alignment horizontal="left" vertical="top" wrapText="1"/>
    </xf>
    <xf numFmtId="0" fontId="0" fillId="0" borderId="23" xfId="0" applyBorder="1" applyAlignment="1">
      <alignment horizontal="center" vertical="center" wrapText="1"/>
    </xf>
    <xf numFmtId="0" fontId="1" fillId="0" borderId="21" xfId="0" applyFont="1" applyBorder="1" applyAlignment="1">
      <alignment horizontal="left" vertical="top" wrapText="1"/>
    </xf>
    <xf numFmtId="0" fontId="11" fillId="9" borderId="23" xfId="0" applyFont="1" applyFill="1" applyBorder="1" applyAlignment="1">
      <alignment horizontal="center" vertical="center"/>
    </xf>
    <xf numFmtId="0" fontId="1" fillId="0" borderId="21" xfId="0" applyFont="1" applyBorder="1" applyAlignment="1">
      <alignment horizontal="justify" vertical="top" wrapText="1"/>
    </xf>
    <xf numFmtId="0" fontId="1" fillId="0" borderId="59" xfId="0" applyFont="1" applyBorder="1" applyAlignment="1">
      <alignment horizontal="left" vertical="top" wrapText="1"/>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0" fillId="0" borderId="20" xfId="0" applyFont="1" applyBorder="1" applyAlignment="1">
      <alignment vertical="center"/>
    </xf>
    <xf numFmtId="0" fontId="0" fillId="0" borderId="21" xfId="0" applyFont="1" applyBorder="1" applyAlignment="1">
      <alignment vertical="center"/>
    </xf>
    <xf numFmtId="0" fontId="1" fillId="0" borderId="24" xfId="0" applyFont="1" applyBorder="1" applyAlignment="1"/>
    <xf numFmtId="0" fontId="1" fillId="0" borderId="26" xfId="0" applyFont="1" applyBorder="1" applyAlignment="1"/>
    <xf numFmtId="0" fontId="1" fillId="0" borderId="27" xfId="0" applyFont="1" applyBorder="1" applyAlignment="1"/>
    <xf numFmtId="0" fontId="7" fillId="10" borderId="23" xfId="0" applyFont="1" applyFill="1" applyBorder="1" applyAlignment="1">
      <alignment horizontal="center" vertical="center"/>
    </xf>
    <xf numFmtId="0" fontId="7" fillId="11" borderId="23" xfId="0" applyFont="1" applyFill="1" applyBorder="1" applyAlignment="1">
      <alignment horizontal="center" vertical="center"/>
    </xf>
    <xf numFmtId="0" fontId="0" fillId="10" borderId="23" xfId="0" applyFill="1" applyBorder="1" applyAlignment="1">
      <alignment horizontal="center" vertical="center"/>
    </xf>
    <xf numFmtId="0" fontId="0" fillId="11" borderId="60" xfId="0" applyFont="1" applyFill="1" applyBorder="1" applyAlignment="1">
      <alignment horizontal="center" vertical="center"/>
    </xf>
    <xf numFmtId="0" fontId="0" fillId="11" borderId="0" xfId="0" applyFont="1" applyFill="1" applyAlignment="1">
      <alignment horizontal="center" vertical="center"/>
    </xf>
    <xf numFmtId="0" fontId="9" fillId="10" borderId="23" xfId="0" applyFont="1" applyFill="1" applyBorder="1" applyAlignment="1">
      <alignment horizontal="center" vertical="center"/>
    </xf>
    <xf numFmtId="0" fontId="12" fillId="0" borderId="23" xfId="0" applyFont="1" applyFill="1" applyBorder="1" applyAlignment="1">
      <alignment horizontal="left" indent="1"/>
    </xf>
    <xf numFmtId="1" fontId="0" fillId="0" borderId="23" xfId="0" applyNumberFormat="1" applyBorder="1" applyAlignment="1">
      <alignment horizontal="center" vertical="center"/>
    </xf>
    <xf numFmtId="0" fontId="0" fillId="0" borderId="23" xfId="0" applyNumberFormat="1" applyBorder="1" applyAlignment="1">
      <alignment horizontal="center" vertical="center"/>
    </xf>
    <xf numFmtId="1" fontId="0" fillId="11" borderId="23" xfId="0" applyNumberFormat="1" applyFill="1" applyBorder="1" applyAlignment="1">
      <alignment horizontal="center" vertical="center"/>
    </xf>
    <xf numFmtId="0" fontId="0" fillId="0" borderId="0" xfId="0" applyFill="1" applyBorder="1" applyAlignment="1">
      <alignment horizontal="center" vertical="center"/>
    </xf>
    <xf numFmtId="0" fontId="12" fillId="0" borderId="0" xfId="0" applyFont="1" applyFill="1" applyBorder="1" applyAlignment="1">
      <alignment horizontal="left"/>
    </xf>
    <xf numFmtId="1" fontId="0" fillId="0" borderId="0" xfId="0" applyNumberFormat="1" applyFill="1" applyBorder="1" applyAlignment="1">
      <alignment horizontal="center" vertical="center"/>
    </xf>
    <xf numFmtId="0" fontId="7" fillId="10" borderId="61" xfId="0" applyFont="1" applyFill="1" applyBorder="1" applyAlignment="1">
      <alignment horizontal="center" vertical="center"/>
    </xf>
    <xf numFmtId="0" fontId="7" fillId="12" borderId="61" xfId="0" applyFont="1" applyFill="1" applyBorder="1" applyAlignment="1">
      <alignment horizontal="center" vertical="center"/>
    </xf>
    <xf numFmtId="0" fontId="0" fillId="11" borderId="62" xfId="0" applyFont="1" applyFill="1" applyBorder="1" applyAlignment="1">
      <alignment horizontal="center" vertical="center"/>
    </xf>
    <xf numFmtId="0" fontId="7" fillId="10" borderId="63" xfId="0" applyFont="1" applyFill="1" applyBorder="1" applyAlignment="1">
      <alignment horizontal="center" vertical="center"/>
    </xf>
    <xf numFmtId="0" fontId="7" fillId="12" borderId="63" xfId="0" applyFont="1" applyFill="1" applyBorder="1" applyAlignment="1">
      <alignment horizontal="center" vertical="center"/>
    </xf>
    <xf numFmtId="1" fontId="0" fillId="12" borderId="23" xfId="0" applyNumberFormat="1" applyFont="1" applyFill="1" applyBorder="1" applyAlignment="1">
      <alignment horizontal="center" vertical="center"/>
    </xf>
    <xf numFmtId="1" fontId="0" fillId="0" borderId="0" xfId="0" applyNumberFormat="1" applyFont="1" applyFill="1" applyBorder="1" applyAlignment="1">
      <alignment horizontal="center" vertical="center"/>
    </xf>
    <xf numFmtId="0" fontId="0" fillId="0" borderId="0" xfId="0" applyNumberFormat="1">
      <alignment vertical="center"/>
    </xf>
    <xf numFmtId="0" fontId="7" fillId="13" borderId="23" xfId="0" applyFont="1" applyFill="1" applyBorder="1" applyAlignment="1">
      <alignment horizontal="center" vertical="center"/>
    </xf>
    <xf numFmtId="0" fontId="0" fillId="13" borderId="23" xfId="0" applyFill="1" applyBorder="1" applyAlignment="1">
      <alignment horizontal="center" vertical="center"/>
    </xf>
    <xf numFmtId="0" fontId="0" fillId="0" borderId="23" xfId="0" applyBorder="1">
      <alignment vertical="center"/>
    </xf>
    <xf numFmtId="0" fontId="0" fillId="14" borderId="23" xfId="0" applyFill="1" applyBorder="1" applyAlignment="1">
      <alignment horizontal="center" vertical="center"/>
    </xf>
    <xf numFmtId="0" fontId="0" fillId="0" borderId="0" xfId="0" applyFill="1" applyBorder="1">
      <alignment vertical="center"/>
    </xf>
    <xf numFmtId="0" fontId="12" fillId="0" borderId="0" xfId="0" applyFont="1" applyFill="1" applyBorder="1" applyAlignment="1"/>
    <xf numFmtId="0" fontId="0" fillId="5" borderId="23" xfId="0" applyFill="1" applyBorder="1" applyAlignment="1">
      <alignment horizontal="center" vertical="center" wrapText="1"/>
    </xf>
    <xf numFmtId="0" fontId="0" fillId="5" borderId="23" xfId="0" applyFill="1" applyBorder="1" applyAlignment="1">
      <alignment horizontal="center" vertical="center"/>
    </xf>
    <xf numFmtId="9" fontId="0" fillId="0" borderId="61" xfId="0" applyNumberFormat="1" applyBorder="1" applyAlignment="1">
      <alignment horizontal="center" vertical="center"/>
    </xf>
    <xf numFmtId="0" fontId="0" fillId="15" borderId="23" xfId="0" applyFill="1" applyBorder="1" applyAlignment="1">
      <alignment horizontal="center" vertical="center" wrapText="1"/>
    </xf>
    <xf numFmtId="0" fontId="0" fillId="16" borderId="23" xfId="0" applyFill="1" applyBorder="1" applyAlignment="1">
      <alignment horizontal="center" vertical="center" wrapText="1"/>
    </xf>
    <xf numFmtId="0" fontId="0" fillId="17" borderId="23" xfId="0" applyFill="1" applyBorder="1" applyAlignment="1">
      <alignment horizontal="center" vertical="center" wrapText="1"/>
    </xf>
    <xf numFmtId="0" fontId="13" fillId="17" borderId="60" xfId="0" applyFont="1" applyFill="1" applyBorder="1" applyAlignment="1">
      <alignment horizontal="center" vertical="center" wrapText="1"/>
    </xf>
    <xf numFmtId="0" fontId="0" fillId="15" borderId="23" xfId="0" applyFill="1" applyBorder="1" applyAlignment="1">
      <alignment horizontal="center" vertical="center"/>
    </xf>
    <xf numFmtId="0" fontId="0" fillId="16" borderId="23" xfId="0" applyFill="1" applyBorder="1" applyAlignment="1">
      <alignment horizontal="center" vertical="center"/>
    </xf>
    <xf numFmtId="0" fontId="0" fillId="17" borderId="23" xfId="0" applyFill="1" applyBorder="1" applyAlignment="1">
      <alignment horizontal="center" vertical="center"/>
    </xf>
    <xf numFmtId="0" fontId="7" fillId="0" borderId="23" xfId="0" applyFont="1" applyBorder="1" applyAlignment="1">
      <alignment horizontal="center" vertical="center"/>
    </xf>
    <xf numFmtId="1" fontId="0" fillId="5" borderId="23" xfId="0" applyNumberFormat="1" applyFill="1" applyBorder="1" applyAlignment="1">
      <alignment horizontal="center" vertical="center"/>
    </xf>
    <xf numFmtId="0" fontId="13" fillId="17" borderId="61" xfId="0" applyFont="1" applyFill="1" applyBorder="1" applyAlignment="1">
      <alignment horizontal="center" vertical="center" wrapText="1"/>
    </xf>
    <xf numFmtId="0" fontId="13" fillId="17" borderId="20" xfId="0" applyFont="1" applyFill="1" applyBorder="1" applyAlignment="1">
      <alignment horizontal="center" vertical="center" wrapText="1"/>
    </xf>
    <xf numFmtId="1" fontId="0" fillId="15" borderId="23" xfId="0" applyNumberFormat="1" applyFill="1" applyBorder="1" applyAlignment="1">
      <alignment horizontal="center" vertical="center"/>
    </xf>
    <xf numFmtId="0" fontId="0" fillId="17" borderId="23" xfId="0" applyNumberFormat="1" applyFill="1" applyBorder="1" applyAlignment="1">
      <alignment horizontal="center" vertical="center"/>
    </xf>
    <xf numFmtId="0" fontId="0" fillId="0" borderId="0" xfId="0" applyNumberFormat="1" applyFill="1" applyBorder="1" applyAlignment="1">
      <alignment horizontal="center" vertical="center"/>
    </xf>
    <xf numFmtId="0" fontId="0" fillId="11" borderId="49" xfId="0" applyFill="1" applyBorder="1" applyAlignment="1">
      <alignment horizontal="center" vertical="center"/>
    </xf>
    <xf numFmtId="0" fontId="0" fillId="11" borderId="50" xfId="0" applyFill="1" applyBorder="1" applyAlignment="1">
      <alignment horizontal="center" vertical="center"/>
    </xf>
    <xf numFmtId="0" fontId="0" fillId="11" borderId="50" xfId="0" applyFont="1" applyFill="1" applyBorder="1" applyAlignment="1">
      <alignment horizontal="center" vertical="center"/>
    </xf>
    <xf numFmtId="0" fontId="14" fillId="11" borderId="22" xfId="0" applyFont="1" applyFill="1" applyBorder="1" applyAlignment="1">
      <alignment horizontal="center" vertical="center"/>
    </xf>
    <xf numFmtId="0" fontId="14" fillId="11" borderId="23" xfId="0" applyFont="1" applyFill="1" applyBorder="1" applyAlignment="1">
      <alignment horizontal="center" vertical="center"/>
    </xf>
    <xf numFmtId="0" fontId="0" fillId="0" borderId="22" xfId="0" applyBorder="1" applyAlignment="1">
      <alignment horizontal="center" vertical="center"/>
    </xf>
    <xf numFmtId="0" fontId="12" fillId="0" borderId="2" xfId="0" applyFont="1" applyFill="1" applyBorder="1" applyAlignment="1">
      <alignment horizontal="left" indent="1"/>
    </xf>
    <xf numFmtId="0" fontId="12" fillId="0" borderId="2" xfId="0" applyFont="1" applyFill="1" applyBorder="1" applyAlignment="1"/>
    <xf numFmtId="0" fontId="12" fillId="0" borderId="2" xfId="0" applyFont="1" applyFill="1" applyBorder="1" applyAlignment="1">
      <alignment horizontal="center"/>
    </xf>
    <xf numFmtId="58" fontId="12" fillId="0" borderId="2" xfId="0" applyNumberFormat="1" applyFont="1" applyFill="1" applyBorder="1" applyAlignment="1">
      <alignment horizontal="center"/>
    </xf>
    <xf numFmtId="0" fontId="12" fillId="0" borderId="5" xfId="0" applyFont="1" applyFill="1" applyBorder="1" applyAlignment="1">
      <alignment horizontal="left" indent="1"/>
    </xf>
    <xf numFmtId="0" fontId="12" fillId="0" borderId="5" xfId="0" applyFont="1" applyFill="1" applyBorder="1" applyAlignment="1"/>
    <xf numFmtId="0" fontId="12" fillId="0" borderId="5" xfId="0" applyFont="1" applyFill="1" applyBorder="1" applyAlignment="1">
      <alignment horizontal="center"/>
    </xf>
    <xf numFmtId="58" fontId="12" fillId="0" borderId="5" xfId="0" applyNumberFormat="1" applyFont="1" applyFill="1" applyBorder="1" applyAlignment="1">
      <alignment horizontal="center"/>
    </xf>
    <xf numFmtId="0" fontId="12" fillId="0" borderId="43" xfId="0" applyFont="1" applyFill="1" applyBorder="1" applyAlignment="1"/>
    <xf numFmtId="0" fontId="12" fillId="0" borderId="43" xfId="0" applyFont="1" applyFill="1" applyBorder="1" applyAlignment="1">
      <alignment horizontal="left" indent="1"/>
    </xf>
    <xf numFmtId="0" fontId="12" fillId="0" borderId="43" xfId="0" applyFont="1" applyFill="1" applyBorder="1" applyAlignment="1">
      <alignment horizontal="center"/>
    </xf>
    <xf numFmtId="58" fontId="12" fillId="0" borderId="43" xfId="0" applyNumberFormat="1" applyFont="1" applyFill="1" applyBorder="1" applyAlignment="1">
      <alignment horizontal="center"/>
    </xf>
    <xf numFmtId="0" fontId="0" fillId="0" borderId="25" xfId="0" applyBorder="1" applyAlignment="1">
      <alignment horizontal="center" vertical="center"/>
    </xf>
    <xf numFmtId="0" fontId="12" fillId="0" borderId="11" xfId="0" applyFont="1" applyFill="1" applyBorder="1" applyAlignment="1">
      <alignment horizontal="left" indent="1"/>
    </xf>
    <xf numFmtId="0" fontId="12" fillId="0" borderId="11" xfId="0" applyFont="1" applyFill="1" applyBorder="1" applyAlignment="1"/>
    <xf numFmtId="0" fontId="12" fillId="0" borderId="11" xfId="0" applyFont="1" applyFill="1" applyBorder="1" applyAlignment="1">
      <alignment horizontal="center"/>
    </xf>
    <xf numFmtId="58" fontId="12" fillId="0" borderId="11" xfId="0" applyNumberFormat="1" applyFont="1" applyFill="1" applyBorder="1" applyAlignment="1">
      <alignment horizontal="center"/>
    </xf>
    <xf numFmtId="0" fontId="0" fillId="0" borderId="0" xfId="0" applyBorder="1" applyAlignment="1">
      <alignment horizontal="center" vertical="center"/>
    </xf>
    <xf numFmtId="0" fontId="12" fillId="0" borderId="0" xfId="0" applyFont="1" applyBorder="1" applyAlignment="1"/>
    <xf numFmtId="0" fontId="12" fillId="0" borderId="0" xfId="0" applyFont="1" applyBorder="1" applyAlignment="1">
      <alignment horizontal="center"/>
    </xf>
    <xf numFmtId="0" fontId="12" fillId="0" borderId="8" xfId="0" applyFont="1" applyFill="1" applyBorder="1" applyAlignment="1">
      <alignment horizontal="center" readingOrder="2"/>
    </xf>
    <xf numFmtId="0" fontId="12" fillId="0" borderId="39" xfId="0" applyFont="1" applyFill="1" applyBorder="1" applyAlignment="1">
      <alignment horizontal="center"/>
    </xf>
    <xf numFmtId="0" fontId="12" fillId="0" borderId="42" xfId="0" applyFont="1" applyFill="1" applyBorder="1" applyAlignment="1">
      <alignment horizontal="center"/>
    </xf>
    <xf numFmtId="0" fontId="12" fillId="18" borderId="5" xfId="0" applyFont="1" applyFill="1" applyBorder="1" applyAlignment="1"/>
    <xf numFmtId="0" fontId="12" fillId="0" borderId="40" xfId="0" applyFont="1" applyFill="1" applyBorder="1" applyAlignment="1">
      <alignment horizontal="center"/>
    </xf>
    <xf numFmtId="0" fontId="12" fillId="0" borderId="0" xfId="0" applyFont="1" applyBorder="1" applyAlignment="1">
      <alignment horizontal="left"/>
    </xf>
    <xf numFmtId="0" fontId="0" fillId="11" borderId="58" xfId="0" applyFont="1" applyFill="1" applyBorder="1" applyAlignment="1">
      <alignment horizontal="center" vertical="center"/>
    </xf>
    <xf numFmtId="0" fontId="14" fillId="11" borderId="24" xfId="0" applyFont="1" applyFill="1" applyBorder="1" applyAlignment="1">
      <alignment horizontal="center" vertical="center"/>
    </xf>
    <xf numFmtId="0" fontId="12" fillId="0" borderId="5" xfId="0" applyFont="1" applyFill="1" applyBorder="1" applyAlignment="1" quotePrefix="1"/>
    <xf numFmtId="0" fontId="1" fillId="0" borderId="13" xfId="0" applyFont="1" applyBorder="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CC99FF"/>
      <color rgb="00F7FC7E"/>
      <color rgb="0099FFCC"/>
      <color rgb="0000FFFF"/>
      <color rgb="0066FF33"/>
      <color rgb="00FF9933"/>
      <color rgb="007CAFD0"/>
      <color rgb="00CC66FF"/>
      <color rgb="008AEF79"/>
      <color rgb="00EA85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pin" dx="22" fmlaLink="$P$15" max="30" min="1" page="10" val="4"/>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wdp"/><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169337</xdr:colOff>
      <xdr:row>0</xdr:row>
      <xdr:rowOff>190500</xdr:rowOff>
    </xdr:from>
    <xdr:to>
      <xdr:col>1</xdr:col>
      <xdr:colOff>918002</xdr:colOff>
      <xdr:row>5</xdr:row>
      <xdr:rowOff>186055</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190500"/>
          <a:ext cx="1015365" cy="995680"/>
        </a:xfrm>
        <a:prstGeom prst="rect">
          <a:avLst/>
        </a:prstGeom>
      </xdr:spPr>
    </xdr:pic>
    <xdr:clientData/>
  </xdr:twoCellAnchor>
  <mc:AlternateContent xmlns:mc="http://schemas.openxmlformats.org/markup-compatibility/2006">
    <mc:Choice xmlns:a14="http://schemas.microsoft.com/office/drawing/2010/main" Requires="a14">
      <xdr:twoCellAnchor>
        <xdr:from>
          <xdr:col>16</xdr:col>
          <xdr:colOff>114300</xdr:colOff>
          <xdr:row>13</xdr:row>
          <xdr:rowOff>9525</xdr:rowOff>
        </xdr:from>
        <xdr:to>
          <xdr:col>16</xdr:col>
          <xdr:colOff>542925</xdr:colOff>
          <xdr:row>14</xdr:row>
          <xdr:rowOff>619125</xdr:rowOff>
        </xdr:to>
        <xdr:sp>
          <xdr:nvSpPr>
            <xdr:cNvPr id="1026" name="Spinner 2" hidden="1">
              <a:extLst>
                <a:ext uri="{63B3BB69-23CF-44E3-9099-C40C66FF867C}">
                  <a14:compatExt spid="_x0000_s1026"/>
                </a:ext>
              </a:extLst>
            </xdr:cNvPr>
            <xdr:cNvSpPr/>
          </xdr:nvSpPr>
          <xdr:spPr>
            <a:xfrm>
              <a:off x="10287000" y="2647950"/>
              <a:ext cx="428625" cy="124587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169339</xdr:colOff>
      <xdr:row>1</xdr:row>
      <xdr:rowOff>13753</xdr:rowOff>
    </xdr:from>
    <xdr:to>
      <xdr:col>0</xdr:col>
      <xdr:colOff>1238250</xdr:colOff>
      <xdr:row>5</xdr:row>
      <xdr:rowOff>165010</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203835"/>
          <a:ext cx="1069340" cy="941705"/>
        </a:xfrm>
        <a:prstGeom prst="rect">
          <a:avLst/>
        </a:prstGeom>
      </xdr:spPr>
    </xdr:pic>
    <xdr:clientData/>
  </xdr:twoCellAnchor>
  <xdr:oneCellAnchor>
    <xdr:from>
      <xdr:col>0</xdr:col>
      <xdr:colOff>169339</xdr:colOff>
      <xdr:row>42</xdr:row>
      <xdr:rowOff>13753</xdr:rowOff>
    </xdr:from>
    <xdr:ext cx="1068911" cy="941832"/>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9614535"/>
          <a:ext cx="1069340" cy="941705"/>
        </a:xfrm>
        <a:prstGeom prst="rect">
          <a:avLst/>
        </a:prstGeom>
      </xdr:spPr>
    </xdr:pic>
    <xdr:clientData/>
  </xdr:oneCellAnchor>
  <xdr:oneCellAnchor>
    <xdr:from>
      <xdr:col>0</xdr:col>
      <xdr:colOff>169339</xdr:colOff>
      <xdr:row>84</xdr:row>
      <xdr:rowOff>13753</xdr:rowOff>
    </xdr:from>
    <xdr:ext cx="1068911" cy="941832"/>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19263360"/>
          <a:ext cx="1069340" cy="941705"/>
        </a:xfrm>
        <a:prstGeom prst="rect">
          <a:avLst/>
        </a:prstGeom>
      </xdr:spPr>
    </xdr:pic>
    <xdr:clientData/>
  </xdr:oneCellAnchor>
  <xdr:oneCellAnchor>
    <xdr:from>
      <xdr:col>0</xdr:col>
      <xdr:colOff>169339</xdr:colOff>
      <xdr:row>124</xdr:row>
      <xdr:rowOff>13753</xdr:rowOff>
    </xdr:from>
    <xdr:ext cx="1068911" cy="941832"/>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28493085"/>
          <a:ext cx="1069340" cy="941705"/>
        </a:xfrm>
        <a:prstGeom prst="rect">
          <a:avLst/>
        </a:prstGeom>
      </xdr:spPr>
    </xdr:pic>
    <xdr:clientData/>
  </xdr:oneCellAnchor>
  <xdr:oneCellAnchor>
    <xdr:from>
      <xdr:col>0</xdr:col>
      <xdr:colOff>169339</xdr:colOff>
      <xdr:row>164</xdr:row>
      <xdr:rowOff>13753</xdr:rowOff>
    </xdr:from>
    <xdr:ext cx="1068911" cy="941832"/>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37713285"/>
          <a:ext cx="1069340" cy="941705"/>
        </a:xfrm>
        <a:prstGeom prst="rect">
          <a:avLst/>
        </a:prstGeom>
      </xdr:spPr>
    </xdr:pic>
    <xdr:clientData/>
  </xdr:oneCellAnchor>
  <xdr:oneCellAnchor>
    <xdr:from>
      <xdr:col>0</xdr:col>
      <xdr:colOff>169339</xdr:colOff>
      <xdr:row>204</xdr:row>
      <xdr:rowOff>13753</xdr:rowOff>
    </xdr:from>
    <xdr:ext cx="1068911" cy="941832"/>
    <xdr:pic>
      <xdr:nvPicPr>
        <xdr:cNvPr id="7" name="Picture 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46933485"/>
          <a:ext cx="1069340" cy="941705"/>
        </a:xfrm>
        <a:prstGeom prst="rect">
          <a:avLst/>
        </a:prstGeom>
      </xdr:spPr>
    </xdr:pic>
    <xdr:clientData/>
  </xdr:oneCellAnchor>
  <xdr:oneCellAnchor>
    <xdr:from>
      <xdr:col>0</xdr:col>
      <xdr:colOff>169339</xdr:colOff>
      <xdr:row>244</xdr:row>
      <xdr:rowOff>13753</xdr:rowOff>
    </xdr:from>
    <xdr:ext cx="1068911" cy="941832"/>
    <xdr:pic>
      <xdr:nvPicPr>
        <xdr:cNvPr id="8" name="Picture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56153685"/>
          <a:ext cx="1069340" cy="941705"/>
        </a:xfrm>
        <a:prstGeom prst="rect">
          <a:avLst/>
        </a:prstGeom>
      </xdr:spPr>
    </xdr:pic>
    <xdr:clientData/>
  </xdr:oneCellAnchor>
  <xdr:oneCellAnchor>
    <xdr:from>
      <xdr:col>0</xdr:col>
      <xdr:colOff>169339</xdr:colOff>
      <xdr:row>284</xdr:row>
      <xdr:rowOff>13753</xdr:rowOff>
    </xdr:from>
    <xdr:ext cx="1068911" cy="941832"/>
    <xdr:pic>
      <xdr:nvPicPr>
        <xdr:cNvPr id="9" name="Picture 8"/>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65373885"/>
          <a:ext cx="1069340" cy="941705"/>
        </a:xfrm>
        <a:prstGeom prst="rect">
          <a:avLst/>
        </a:prstGeom>
      </xdr:spPr>
    </xdr:pic>
    <xdr:clientData/>
  </xdr:oneCellAnchor>
  <xdr:oneCellAnchor>
    <xdr:from>
      <xdr:col>0</xdr:col>
      <xdr:colOff>169339</xdr:colOff>
      <xdr:row>324</xdr:row>
      <xdr:rowOff>13753</xdr:rowOff>
    </xdr:from>
    <xdr:ext cx="1068911" cy="941832"/>
    <xdr:pic>
      <xdr:nvPicPr>
        <xdr:cNvPr id="10" name="Picture 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74594085"/>
          <a:ext cx="1069340" cy="941705"/>
        </a:xfrm>
        <a:prstGeom prst="rect">
          <a:avLst/>
        </a:prstGeom>
      </xdr:spPr>
    </xdr:pic>
    <xdr:clientData/>
  </xdr:oneCellAnchor>
  <xdr:oneCellAnchor>
    <xdr:from>
      <xdr:col>0</xdr:col>
      <xdr:colOff>169339</xdr:colOff>
      <xdr:row>363</xdr:row>
      <xdr:rowOff>13753</xdr:rowOff>
    </xdr:from>
    <xdr:ext cx="1068911" cy="941832"/>
    <xdr:pic>
      <xdr:nvPicPr>
        <xdr:cNvPr id="11" name="Picture 10"/>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68910" y="83347560"/>
          <a:ext cx="1069340" cy="94170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114300</xdr:colOff>
      <xdr:row>0</xdr:row>
      <xdr:rowOff>0</xdr:rowOff>
    </xdr:from>
    <xdr:to>
      <xdr:col>2</xdr:col>
      <xdr:colOff>251460</xdr:colOff>
      <xdr:row>4</xdr:row>
      <xdr:rowOff>25400</xdr:rowOff>
    </xdr:to>
    <xdr:pic>
      <xdr:nvPicPr>
        <xdr:cNvPr id="2" name="Picture 1"/>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0"/>
          <a:ext cx="850900" cy="833120"/>
        </a:xfrm>
        <a:prstGeom prst="rect">
          <a:avLst/>
        </a:prstGeom>
      </xdr:spPr>
    </xdr:pic>
    <xdr:clientData/>
  </xdr:twoCellAnchor>
  <xdr:twoCellAnchor editAs="oneCell">
    <xdr:from>
      <xdr:col>3</xdr:col>
      <xdr:colOff>778382</xdr:colOff>
      <xdr:row>0</xdr:row>
      <xdr:rowOff>139700</xdr:rowOff>
    </xdr:from>
    <xdr:to>
      <xdr:col>5</xdr:col>
      <xdr:colOff>1203832</xdr:colOff>
      <xdr:row>3</xdr:row>
      <xdr:rowOff>139700</xdr:rowOff>
    </xdr:to>
    <xdr:pic>
      <xdr:nvPicPr>
        <xdr:cNvPr id="3" name="Picture 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139700"/>
          <a:ext cx="1416050" cy="607695"/>
        </a:xfrm>
        <a:prstGeom prst="rect">
          <a:avLst/>
        </a:prstGeom>
      </xdr:spPr>
    </xdr:pic>
    <xdr:clientData/>
  </xdr:twoCellAnchor>
  <xdr:oneCellAnchor>
    <xdr:from>
      <xdr:col>0</xdr:col>
      <xdr:colOff>114300</xdr:colOff>
      <xdr:row>67</xdr:row>
      <xdr:rowOff>0</xdr:rowOff>
    </xdr:from>
    <xdr:ext cx="850900" cy="815975"/>
    <xdr:pic>
      <xdr:nvPicPr>
        <xdr:cNvPr id="4" name="Picture 3"/>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13818870"/>
          <a:ext cx="850900" cy="815975"/>
        </a:xfrm>
        <a:prstGeom prst="rect">
          <a:avLst/>
        </a:prstGeom>
      </xdr:spPr>
    </xdr:pic>
    <xdr:clientData/>
  </xdr:oneCellAnchor>
  <xdr:oneCellAnchor>
    <xdr:from>
      <xdr:col>3</xdr:col>
      <xdr:colOff>778382</xdr:colOff>
      <xdr:row>67</xdr:row>
      <xdr:rowOff>139700</xdr:rowOff>
    </xdr:from>
    <xdr:ext cx="1416050" cy="600075"/>
    <xdr:pic>
      <xdr:nvPicPr>
        <xdr:cNvPr id="5" name="Picture 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13958570"/>
          <a:ext cx="1416050" cy="600075"/>
        </a:xfrm>
        <a:prstGeom prst="rect">
          <a:avLst/>
        </a:prstGeom>
      </xdr:spPr>
    </xdr:pic>
    <xdr:clientData/>
  </xdr:oneCellAnchor>
  <xdr:oneCellAnchor>
    <xdr:from>
      <xdr:col>0</xdr:col>
      <xdr:colOff>114300</xdr:colOff>
      <xdr:row>134</xdr:row>
      <xdr:rowOff>0</xdr:rowOff>
    </xdr:from>
    <xdr:ext cx="850900" cy="815975"/>
    <xdr:pic>
      <xdr:nvPicPr>
        <xdr:cNvPr id="6" name="Picture 5"/>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27630120"/>
          <a:ext cx="850900" cy="815975"/>
        </a:xfrm>
        <a:prstGeom prst="rect">
          <a:avLst/>
        </a:prstGeom>
      </xdr:spPr>
    </xdr:pic>
    <xdr:clientData/>
  </xdr:oneCellAnchor>
  <xdr:oneCellAnchor>
    <xdr:from>
      <xdr:col>3</xdr:col>
      <xdr:colOff>778382</xdr:colOff>
      <xdr:row>134</xdr:row>
      <xdr:rowOff>139700</xdr:rowOff>
    </xdr:from>
    <xdr:ext cx="1416050" cy="600075"/>
    <xdr:pic>
      <xdr:nvPicPr>
        <xdr:cNvPr id="7" name="Picture 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27769820"/>
          <a:ext cx="1416050" cy="600075"/>
        </a:xfrm>
        <a:prstGeom prst="rect">
          <a:avLst/>
        </a:prstGeom>
      </xdr:spPr>
    </xdr:pic>
    <xdr:clientData/>
  </xdr:oneCellAnchor>
  <xdr:oneCellAnchor>
    <xdr:from>
      <xdr:col>0</xdr:col>
      <xdr:colOff>114300</xdr:colOff>
      <xdr:row>201</xdr:row>
      <xdr:rowOff>0</xdr:rowOff>
    </xdr:from>
    <xdr:ext cx="850900" cy="815975"/>
    <xdr:pic>
      <xdr:nvPicPr>
        <xdr:cNvPr id="8" name="Picture 7"/>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41606470"/>
          <a:ext cx="850900" cy="815975"/>
        </a:xfrm>
        <a:prstGeom prst="rect">
          <a:avLst/>
        </a:prstGeom>
      </xdr:spPr>
    </xdr:pic>
    <xdr:clientData/>
  </xdr:oneCellAnchor>
  <xdr:oneCellAnchor>
    <xdr:from>
      <xdr:col>3</xdr:col>
      <xdr:colOff>778382</xdr:colOff>
      <xdr:row>201</xdr:row>
      <xdr:rowOff>139700</xdr:rowOff>
    </xdr:from>
    <xdr:ext cx="1416050" cy="600075"/>
    <xdr:pic>
      <xdr:nvPicPr>
        <xdr:cNvPr id="9" name="Picture 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41746170"/>
          <a:ext cx="1416050" cy="600075"/>
        </a:xfrm>
        <a:prstGeom prst="rect">
          <a:avLst/>
        </a:prstGeom>
      </xdr:spPr>
    </xdr:pic>
    <xdr:clientData/>
  </xdr:oneCellAnchor>
  <xdr:oneCellAnchor>
    <xdr:from>
      <xdr:col>0</xdr:col>
      <xdr:colOff>114300</xdr:colOff>
      <xdr:row>268</xdr:row>
      <xdr:rowOff>0</xdr:rowOff>
    </xdr:from>
    <xdr:ext cx="850900" cy="815975"/>
    <xdr:pic>
      <xdr:nvPicPr>
        <xdr:cNvPr id="10" name="Picture 9"/>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55405020"/>
          <a:ext cx="850900" cy="815975"/>
        </a:xfrm>
        <a:prstGeom prst="rect">
          <a:avLst/>
        </a:prstGeom>
      </xdr:spPr>
    </xdr:pic>
    <xdr:clientData/>
  </xdr:oneCellAnchor>
  <xdr:oneCellAnchor>
    <xdr:from>
      <xdr:col>3</xdr:col>
      <xdr:colOff>778382</xdr:colOff>
      <xdr:row>268</xdr:row>
      <xdr:rowOff>139700</xdr:rowOff>
    </xdr:from>
    <xdr:ext cx="1416050" cy="600075"/>
    <xdr:pic>
      <xdr:nvPicPr>
        <xdr:cNvPr id="11" name="Picture 1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55544720"/>
          <a:ext cx="1416050" cy="600075"/>
        </a:xfrm>
        <a:prstGeom prst="rect">
          <a:avLst/>
        </a:prstGeom>
      </xdr:spPr>
    </xdr:pic>
    <xdr:clientData/>
  </xdr:oneCellAnchor>
  <xdr:oneCellAnchor>
    <xdr:from>
      <xdr:col>0</xdr:col>
      <xdr:colOff>114300</xdr:colOff>
      <xdr:row>335</xdr:row>
      <xdr:rowOff>0</xdr:rowOff>
    </xdr:from>
    <xdr:ext cx="850900" cy="815975"/>
    <xdr:pic>
      <xdr:nvPicPr>
        <xdr:cNvPr id="12" name="Picture 11"/>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69394070"/>
          <a:ext cx="850900" cy="815975"/>
        </a:xfrm>
        <a:prstGeom prst="rect">
          <a:avLst/>
        </a:prstGeom>
      </xdr:spPr>
    </xdr:pic>
    <xdr:clientData/>
  </xdr:oneCellAnchor>
  <xdr:oneCellAnchor>
    <xdr:from>
      <xdr:col>3</xdr:col>
      <xdr:colOff>778382</xdr:colOff>
      <xdr:row>335</xdr:row>
      <xdr:rowOff>139700</xdr:rowOff>
    </xdr:from>
    <xdr:ext cx="1416050" cy="600075"/>
    <xdr:pic>
      <xdr:nvPicPr>
        <xdr:cNvPr id="13" name="Picture 1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69533770"/>
          <a:ext cx="1416050" cy="600075"/>
        </a:xfrm>
        <a:prstGeom prst="rect">
          <a:avLst/>
        </a:prstGeom>
      </xdr:spPr>
    </xdr:pic>
    <xdr:clientData/>
  </xdr:oneCellAnchor>
  <xdr:oneCellAnchor>
    <xdr:from>
      <xdr:col>0</xdr:col>
      <xdr:colOff>114300</xdr:colOff>
      <xdr:row>402</xdr:row>
      <xdr:rowOff>0</xdr:rowOff>
    </xdr:from>
    <xdr:ext cx="850900" cy="815975"/>
    <xdr:pic>
      <xdr:nvPicPr>
        <xdr:cNvPr id="14" name="Picture 13"/>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83167220"/>
          <a:ext cx="850900" cy="815975"/>
        </a:xfrm>
        <a:prstGeom prst="rect">
          <a:avLst/>
        </a:prstGeom>
      </xdr:spPr>
    </xdr:pic>
    <xdr:clientData/>
  </xdr:oneCellAnchor>
  <xdr:oneCellAnchor>
    <xdr:from>
      <xdr:col>3</xdr:col>
      <xdr:colOff>778382</xdr:colOff>
      <xdr:row>402</xdr:row>
      <xdr:rowOff>139700</xdr:rowOff>
    </xdr:from>
    <xdr:ext cx="1416050" cy="600075"/>
    <xdr:pic>
      <xdr:nvPicPr>
        <xdr:cNvPr id="15" name="Picture 14"/>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83306920"/>
          <a:ext cx="1416050" cy="600075"/>
        </a:xfrm>
        <a:prstGeom prst="rect">
          <a:avLst/>
        </a:prstGeom>
      </xdr:spPr>
    </xdr:pic>
    <xdr:clientData/>
  </xdr:oneCellAnchor>
  <xdr:oneCellAnchor>
    <xdr:from>
      <xdr:col>0</xdr:col>
      <xdr:colOff>114300</xdr:colOff>
      <xdr:row>469</xdr:row>
      <xdr:rowOff>0</xdr:rowOff>
    </xdr:from>
    <xdr:ext cx="850900" cy="815975"/>
    <xdr:pic>
      <xdr:nvPicPr>
        <xdr:cNvPr id="16" name="Picture 15"/>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97130870"/>
          <a:ext cx="850900" cy="815975"/>
        </a:xfrm>
        <a:prstGeom prst="rect">
          <a:avLst/>
        </a:prstGeom>
      </xdr:spPr>
    </xdr:pic>
    <xdr:clientData/>
  </xdr:oneCellAnchor>
  <xdr:oneCellAnchor>
    <xdr:from>
      <xdr:col>3</xdr:col>
      <xdr:colOff>778382</xdr:colOff>
      <xdr:row>469</xdr:row>
      <xdr:rowOff>139700</xdr:rowOff>
    </xdr:from>
    <xdr:ext cx="1416050" cy="600075"/>
    <xdr:pic>
      <xdr:nvPicPr>
        <xdr:cNvPr id="17" name="Picture 16"/>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97270570"/>
          <a:ext cx="1416050" cy="600075"/>
        </a:xfrm>
        <a:prstGeom prst="rect">
          <a:avLst/>
        </a:prstGeom>
      </xdr:spPr>
    </xdr:pic>
    <xdr:clientData/>
  </xdr:oneCellAnchor>
  <xdr:oneCellAnchor>
    <xdr:from>
      <xdr:col>0</xdr:col>
      <xdr:colOff>114300</xdr:colOff>
      <xdr:row>536</xdr:row>
      <xdr:rowOff>0</xdr:rowOff>
    </xdr:from>
    <xdr:ext cx="850900" cy="815975"/>
    <xdr:pic>
      <xdr:nvPicPr>
        <xdr:cNvPr id="18" name="Picture 17"/>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110904020"/>
          <a:ext cx="850900" cy="815975"/>
        </a:xfrm>
        <a:prstGeom prst="rect">
          <a:avLst/>
        </a:prstGeom>
      </xdr:spPr>
    </xdr:pic>
    <xdr:clientData/>
  </xdr:oneCellAnchor>
  <xdr:oneCellAnchor>
    <xdr:from>
      <xdr:col>3</xdr:col>
      <xdr:colOff>778382</xdr:colOff>
      <xdr:row>536</xdr:row>
      <xdr:rowOff>139700</xdr:rowOff>
    </xdr:from>
    <xdr:ext cx="1416050" cy="600075"/>
    <xdr:pic>
      <xdr:nvPicPr>
        <xdr:cNvPr id="19" name="Picture 18"/>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111043720"/>
          <a:ext cx="1416050" cy="600075"/>
        </a:xfrm>
        <a:prstGeom prst="rect">
          <a:avLst/>
        </a:prstGeom>
      </xdr:spPr>
    </xdr:pic>
    <xdr:clientData/>
  </xdr:oneCellAnchor>
  <xdr:oneCellAnchor>
    <xdr:from>
      <xdr:col>0</xdr:col>
      <xdr:colOff>114300</xdr:colOff>
      <xdr:row>603</xdr:row>
      <xdr:rowOff>0</xdr:rowOff>
    </xdr:from>
    <xdr:ext cx="850900" cy="815975"/>
    <xdr:pic>
      <xdr:nvPicPr>
        <xdr:cNvPr id="20" name="Picture 19"/>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124677170"/>
          <a:ext cx="850900" cy="815975"/>
        </a:xfrm>
        <a:prstGeom prst="rect">
          <a:avLst/>
        </a:prstGeom>
      </xdr:spPr>
    </xdr:pic>
    <xdr:clientData/>
  </xdr:oneCellAnchor>
  <xdr:oneCellAnchor>
    <xdr:from>
      <xdr:col>3</xdr:col>
      <xdr:colOff>778382</xdr:colOff>
      <xdr:row>603</xdr:row>
      <xdr:rowOff>139700</xdr:rowOff>
    </xdr:from>
    <xdr:ext cx="1416050" cy="600075"/>
    <xdr:pic>
      <xdr:nvPicPr>
        <xdr:cNvPr id="21" name="Picture 20"/>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124816870"/>
          <a:ext cx="1416050" cy="600075"/>
        </a:xfrm>
        <a:prstGeom prst="rect">
          <a:avLst/>
        </a:prstGeom>
      </xdr:spPr>
    </xdr:pic>
    <xdr:clientData/>
  </xdr:oneCellAnchor>
  <xdr:oneCellAnchor>
    <xdr:from>
      <xdr:col>0</xdr:col>
      <xdr:colOff>114300</xdr:colOff>
      <xdr:row>670</xdr:row>
      <xdr:rowOff>0</xdr:rowOff>
    </xdr:from>
    <xdr:ext cx="850900" cy="815975"/>
    <xdr:pic>
      <xdr:nvPicPr>
        <xdr:cNvPr id="22" name="Picture 21"/>
        <xdr:cNvPicPr>
          <a:picLocks noChangeAspect="1"/>
        </xdr:cNvPicPr>
      </xdr:nvPicPr>
      <xdr:blipFill>
        <a:blip r:embed="rId1" cstate="print">
          <a:extLst>
            <a:ext uri="{BEBA8EAE-BF5A-486C-A8C5-ECC9F3942E4B}">
              <a14:imgProps xmlns:a14="http://schemas.microsoft.com/office/drawing/2010/main">
                <a14:imgLayer r:embed="rId2">
                  <a14:imgEffect>
                    <a14:backgroundRemoval t="7778" b="93194" l="10000" r="97917">
                      <a14:foregroundMark x1="30972" y1="19306" x2="23750" y2="18889"/>
                      <a14:foregroundMark x1="23750" y1="18889" x2="18889" y2="24167"/>
                      <a14:foregroundMark x1="18889" y1="24167" x2="18889" y2="34444"/>
                      <a14:foregroundMark x1="97917" y1="93333" x2="97917" y2="93333"/>
                      <a14:foregroundMark x1="93889" y1="90694" x2="93889" y2="90694"/>
                      <a14:foregroundMark x1="48889" y1="7778" x2="40000" y2="13472"/>
                      <a14:foregroundMark x1="40000" y1="13333" x2="36250" y2="19306"/>
                      <a14:foregroundMark x1="36250" y1="19306" x2="30556" y2="19583"/>
                      <a14:foregroundMark x1="26250" y1="19028" x2="20139" y2="22500"/>
                      <a14:foregroundMark x1="20139" y1="22500" x2="19861" y2="24028"/>
                      <a14:foregroundMark x1="23194" y1="19028" x2="19861" y2="25694"/>
                      <a14:foregroundMark x1="19861" y1="25694" x2="19861" y2="25972"/>
                      <a14:foregroundMark x1="20417" y1="24444" x2="18889" y2="22778"/>
                      <a14:foregroundMark x1="22361" y1="19444" x2="18472" y2="23333"/>
                      <a14:foregroundMark x1="21806" y1="19444" x2="19861" y2="22361"/>
                      <a14:foregroundMark x1="22361" y1="19028" x2="19444" y2="23333"/>
                      <a14:foregroundMark x1="23750" y1="20000" x2="19861" y2="18889"/>
                      <a14:foregroundMark x1="62917" y1="20417" x2="62917" y2="18194"/>
                      <a14:foregroundMark x1="63333" y1="19444" x2="63333" y2="19444"/>
                      <a14:foregroundMark x1="63333" y1="19444" x2="59028" y2="14028"/>
                      <a14:foregroundMark x1="59028" y1="14028" x2="53194" y2="9722"/>
                      <a14:foregroundMark x1="53194" y1="9722" x2="59028" y2="13611"/>
                      <a14:foregroundMark x1="59028" y1="13611" x2="63750" y2="19028"/>
                      <a14:foregroundMark x1="63750" y1="19028" x2="60000" y2="13056"/>
                      <a14:foregroundMark x1="60000" y1="13056" x2="53194" y2="8750"/>
                      <a14:foregroundMark x1="53194" y1="8750" x2="51806" y2="9306"/>
                      <a14:foregroundMark x1="52361" y1="9028" x2="49028" y2="8194"/>
                      <a14:foregroundMark x1="54028" y1="10139" x2="47917" y2="9444"/>
                      <a14:foregroundMark x1="51806" y1="9444" x2="49444" y2="10694"/>
                      <a14:foregroundMark x1="52361" y1="8472" x2="49444" y2="9028"/>
                      <a14:foregroundMark x1="54306" y1="8750" x2="48333" y2="10000"/>
                      <a14:foregroundMark x1="53472" y1="9861" x2="47639" y2="9583"/>
                      <a14:foregroundMark x1="75556" y1="29306" x2="75556" y2="29306"/>
                      <a14:foregroundMark x1="75556" y1="29306" x2="63194" y2="46528"/>
                      <a14:foregroundMark x1="63194" y1="46528" x2="63194" y2="46528"/>
                      <a14:foregroundMark x1="59861" y1="25417" x2="57222" y2="32083"/>
                      <a14:foregroundMark x1="57222" y1="32083" x2="51667" y2="24583"/>
                      <a14:foregroundMark x1="51667" y1="24583" x2="46250" y2="31250"/>
                      <a14:foregroundMark x1="46250" y1="31111" x2="53472" y2="47639"/>
                      <a14:foregroundMark x1="53472" y1="47639" x2="44861" y2="33750"/>
                      <a14:foregroundMark x1="44861" y1="33750" x2="38194" y2="41111"/>
                      <a14:foregroundMark x1="38194" y1="41111" x2="38056" y2="48750"/>
                      <a14:foregroundMark x1="38056" y1="48750" x2="45139" y2="51250"/>
                      <a14:foregroundMark x1="45139" y1="51250" x2="40694" y2="43056"/>
                      <a14:foregroundMark x1="40694" y1="43056" x2="39444" y2="46250"/>
                      <a14:foregroundMark x1="76111" y1="38194" x2="82083" y2="42083"/>
                      <a14:foregroundMark x1="82083" y1="42083" x2="85972" y2="48056"/>
                      <a14:foregroundMark x1="85972" y1="48056" x2="82500" y2="55556"/>
                      <a14:foregroundMark x1="82500" y1="55556" x2="75972" y2="59861"/>
                      <a14:foregroundMark x1="75972" y1="59861" x2="75972" y2="68333"/>
                      <a14:foregroundMark x1="75972" y1="68333" x2="72083" y2="74444"/>
                      <a14:foregroundMark x1="72083" y1="74444" x2="65139" y2="75000"/>
                      <a14:foregroundMark x1="65139" y1="75000" x2="52917" y2="84444"/>
                      <a14:foregroundMark x1="52917" y1="84444" x2="45694" y2="82083"/>
                      <a14:foregroundMark x1="45694" y1="82083" x2="40417" y2="75972"/>
                      <a14:foregroundMark x1="40417" y1="75972" x2="26111" y2="75972"/>
                      <a14:foregroundMark x1="26111" y1="75972" x2="25556" y2="61667"/>
                      <a14:foregroundMark x1="25556" y1="61667" x2="19444" y2="57639"/>
                      <a14:foregroundMark x1="19444" y1="57639" x2="15417" y2="51667"/>
                      <a14:foregroundMark x1="15417" y1="51667" x2="15833" y2="44444"/>
                      <a14:foregroundMark x1="15833" y1="44444" x2="21944" y2="40972"/>
                      <a14:foregroundMark x1="21944" y1="40972" x2="24583" y2="34028"/>
                      <a14:foregroundMark x1="24583" y1="34028" x2="23750" y2="26389"/>
                      <a14:foregroundMark x1="23750" y1="26389" x2="29861" y2="24583"/>
                      <a14:foregroundMark x1="65417" y1="42639" x2="58333" y2="39444"/>
                      <a14:foregroundMark x1="58333" y1="39444" x2="54444" y2="45556"/>
                      <a14:foregroundMark x1="54444" y1="45556" x2="54306" y2="53056"/>
                      <a14:foregroundMark x1="54306" y1="53056" x2="59028" y2="58194"/>
                      <a14:foregroundMark x1="59028" y1="58194" x2="67361" y2="56528"/>
                      <a14:foregroundMark x1="67361" y1="56528" x2="67917" y2="47500"/>
                      <a14:foregroundMark x1="67917" y1="47500" x2="63194" y2="37917"/>
                      <a14:foregroundMark x1="50694" y1="55694" x2="42917" y2="50833"/>
                      <a14:foregroundMark x1="42917" y1="50833" x2="35139" y2="49722"/>
                      <a14:foregroundMark x1="35139" y1="49722" x2="30278" y2="55139"/>
                      <a14:foregroundMark x1="30278" y1="55139" x2="33611" y2="61806"/>
                      <a14:foregroundMark x1="33611" y1="61806" x2="41250" y2="63889"/>
                      <a14:foregroundMark x1="41250" y1="63889" x2="49306" y2="63333"/>
                      <a14:foregroundMark x1="49306" y1="63333" x2="50972" y2="56250"/>
                      <a14:foregroundMark x1="50972" y1="56250" x2="50417" y2="56250"/>
                      <a14:foregroundMark x1="65417" y1="61528" x2="57361" y2="60833"/>
                      <a14:foregroundMark x1="57361" y1="60833" x2="50000" y2="62500"/>
                      <a14:foregroundMark x1="50000" y1="62500" x2="47361" y2="70278"/>
                      <a14:foregroundMark x1="47361" y1="70278" x2="49444" y2="77083"/>
                      <a14:foregroundMark x1="49444" y1="77083" x2="56528" y2="78056"/>
                      <a14:foregroundMark x1="56528" y1="78056" x2="71250" y2="76250"/>
                      <a14:foregroundMark x1="71250" y1="76250" x2="73194" y2="69306"/>
                      <a14:foregroundMark x1="73194" y1="69306" x2="68889" y2="62639"/>
                      <a14:foregroundMark x1="68889" y1="62639" x2="62917" y2="62083"/>
                      <a14:foregroundMark x1="72361" y1="68472" x2="64444" y2="64583"/>
                      <a14:foregroundMark x1="64444" y1="64583" x2="56250" y2="64444"/>
                      <a14:foregroundMark x1="56250" y1="64444" x2="50972" y2="69722"/>
                      <a14:foregroundMark x1="50972" y1="69722" x2="53333" y2="76250"/>
                      <a14:foregroundMark x1="53333" y1="76250" x2="68472" y2="74028"/>
                      <a14:foregroundMark x1="68472" y1="74028" x2="71528" y2="67222"/>
                      <a14:foregroundMark x1="71528" y1="67222" x2="71528" y2="64444"/>
                      <a14:foregroundMark x1="28333" y1="22639" x2="22500" y2="26667"/>
                      <a14:foregroundMark x1="22500" y1="26667" x2="26111" y2="32917"/>
                      <a14:foregroundMark x1="26111" y1="32917" x2="31111" y2="27222"/>
                      <a14:foregroundMark x1="31111" y1="27222" x2="29306" y2="22361"/>
                      <a14:foregroundMark x1="27778" y1="24444" x2="23750" y2="30278"/>
                      <a14:foregroundMark x1="23750" y1="30278" x2="27222" y2="25000"/>
                      <a14:foregroundMark x1="54583" y1="47778" x2="48472" y2="43611"/>
                      <a14:foregroundMark x1="48472" y1="43611" x2="33472" y2="40417"/>
                      <a14:foregroundMark x1="33472" y1="40417" x2="34167" y2="47639"/>
                      <a14:foregroundMark x1="34167" y1="47639" x2="40278" y2="52361"/>
                      <a14:foregroundMark x1="40278" y1="52361" x2="47917" y2="55417"/>
                      <a14:foregroundMark x1="47917" y1="55417" x2="55000" y2="53750"/>
                      <a14:foregroundMark x1="55000" y1="53750" x2="54167" y2="46944"/>
                      <a14:foregroundMark x1="54167" y1="46944" x2="54306" y2="46667"/>
                      <a14:foregroundMark x1="54306" y1="46528" x2="47222" y2="46806"/>
                      <a14:foregroundMark x1="47222" y1="46806" x2="52361" y2="51528"/>
                      <a14:foregroundMark x1="52361" y1="51528" x2="52917" y2="45417"/>
                      <a14:backgroundMark x1="19496" y1="34444" x2="19444" y2="34861"/>
                      <a14:backgroundMark x1="19444" y1="34861" x2="19583" y2="35972"/>
                    </a14:backgroundRemoval>
                  </a14:imgEffect>
                </a14:imgLayer>
              </a14:imgProps>
            </a:ext>
            <a:ext uri="{28A0092B-C50C-407E-A947-70E740481C1C}">
              <a14:useLocalDpi xmlns:a14="http://schemas.microsoft.com/office/drawing/2010/main" val="0"/>
            </a:ext>
          </a:extLst>
        </a:blip>
        <a:stretch>
          <a:fillRect/>
        </a:stretch>
      </xdr:blipFill>
      <xdr:spPr>
        <a:xfrm>
          <a:off x="114300" y="138450320"/>
          <a:ext cx="850900" cy="815975"/>
        </a:xfrm>
        <a:prstGeom prst="rect">
          <a:avLst/>
        </a:prstGeom>
      </xdr:spPr>
    </xdr:pic>
    <xdr:clientData/>
  </xdr:oneCellAnchor>
  <xdr:oneCellAnchor>
    <xdr:from>
      <xdr:col>3</xdr:col>
      <xdr:colOff>778382</xdr:colOff>
      <xdr:row>670</xdr:row>
      <xdr:rowOff>139700</xdr:rowOff>
    </xdr:from>
    <xdr:ext cx="1416050" cy="600075"/>
    <xdr:pic>
      <xdr:nvPicPr>
        <xdr:cNvPr id="23" name="Picture 22"/>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7244715" y="138590020"/>
          <a:ext cx="1416050" cy="60007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114300</xdr:colOff>
      <xdr:row>0</xdr:row>
      <xdr:rowOff>0</xdr:rowOff>
    </xdr:from>
    <xdr:to>
      <xdr:col>1</xdr:col>
      <xdr:colOff>596900</xdr:colOff>
      <xdr:row>4</xdr:row>
      <xdr:rowOff>38100</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0"/>
          <a:ext cx="854075" cy="847725"/>
        </a:xfrm>
        <a:prstGeom prst="rect">
          <a:avLst/>
        </a:prstGeom>
      </xdr:spPr>
    </xdr:pic>
    <xdr:clientData/>
  </xdr:twoCellAnchor>
  <xdr:twoCellAnchor editAs="oneCell">
    <xdr:from>
      <xdr:col>7</xdr:col>
      <xdr:colOff>273557</xdr:colOff>
      <xdr:row>0</xdr:row>
      <xdr:rowOff>130175</xdr:rowOff>
    </xdr:from>
    <xdr:to>
      <xdr:col>8</xdr:col>
      <xdr:colOff>648207</xdr:colOff>
      <xdr:row>3</xdr:row>
      <xdr:rowOff>130175</xdr:rowOff>
    </xdr:to>
    <xdr:pic>
      <xdr:nvPicPr>
        <xdr:cNvPr id="3" name="Pictur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130175"/>
          <a:ext cx="1431925" cy="600075"/>
        </a:xfrm>
        <a:prstGeom prst="rect">
          <a:avLst/>
        </a:prstGeom>
      </xdr:spPr>
    </xdr:pic>
    <xdr:clientData/>
  </xdr:twoCellAnchor>
  <xdr:oneCellAnchor>
    <xdr:from>
      <xdr:col>0</xdr:col>
      <xdr:colOff>114300</xdr:colOff>
      <xdr:row>45</xdr:row>
      <xdr:rowOff>0</xdr:rowOff>
    </xdr:from>
    <xdr:ext cx="854075" cy="847725"/>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9346565"/>
          <a:ext cx="854075" cy="847725"/>
        </a:xfrm>
        <a:prstGeom prst="rect">
          <a:avLst/>
        </a:prstGeom>
      </xdr:spPr>
    </xdr:pic>
    <xdr:clientData/>
  </xdr:oneCellAnchor>
  <xdr:oneCellAnchor>
    <xdr:from>
      <xdr:col>7</xdr:col>
      <xdr:colOff>273557</xdr:colOff>
      <xdr:row>45</xdr:row>
      <xdr:rowOff>130175</xdr:rowOff>
    </xdr:from>
    <xdr:ext cx="1431663" cy="600075"/>
    <xdr:pic>
      <xdr:nvPicPr>
        <xdr:cNvPr id="5" name="Picture 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9476740"/>
          <a:ext cx="1431925" cy="600075"/>
        </a:xfrm>
        <a:prstGeom prst="rect">
          <a:avLst/>
        </a:prstGeom>
      </xdr:spPr>
    </xdr:pic>
    <xdr:clientData/>
  </xdr:oneCellAnchor>
  <xdr:oneCellAnchor>
    <xdr:from>
      <xdr:col>0</xdr:col>
      <xdr:colOff>114300</xdr:colOff>
      <xdr:row>90</xdr:row>
      <xdr:rowOff>0</xdr:rowOff>
    </xdr:from>
    <xdr:ext cx="854075" cy="847725"/>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18681065"/>
          <a:ext cx="854075" cy="847725"/>
        </a:xfrm>
        <a:prstGeom prst="rect">
          <a:avLst/>
        </a:prstGeom>
      </xdr:spPr>
    </xdr:pic>
    <xdr:clientData/>
  </xdr:oneCellAnchor>
  <xdr:oneCellAnchor>
    <xdr:from>
      <xdr:col>7</xdr:col>
      <xdr:colOff>273557</xdr:colOff>
      <xdr:row>90</xdr:row>
      <xdr:rowOff>130175</xdr:rowOff>
    </xdr:from>
    <xdr:ext cx="1431663" cy="600075"/>
    <xdr:pic>
      <xdr:nvPicPr>
        <xdr:cNvPr id="7" name="Picture 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18811240"/>
          <a:ext cx="1431925" cy="600075"/>
        </a:xfrm>
        <a:prstGeom prst="rect">
          <a:avLst/>
        </a:prstGeom>
      </xdr:spPr>
    </xdr:pic>
    <xdr:clientData/>
  </xdr:oneCellAnchor>
  <xdr:oneCellAnchor>
    <xdr:from>
      <xdr:col>0</xdr:col>
      <xdr:colOff>114300</xdr:colOff>
      <xdr:row>135</xdr:row>
      <xdr:rowOff>0</xdr:rowOff>
    </xdr:from>
    <xdr:ext cx="854075" cy="847725"/>
    <xdr:pic>
      <xdr:nvPicPr>
        <xdr:cNvPr id="8" name="Picture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28015565"/>
          <a:ext cx="854075" cy="847725"/>
        </a:xfrm>
        <a:prstGeom prst="rect">
          <a:avLst/>
        </a:prstGeom>
      </xdr:spPr>
    </xdr:pic>
    <xdr:clientData/>
  </xdr:oneCellAnchor>
  <xdr:oneCellAnchor>
    <xdr:from>
      <xdr:col>7</xdr:col>
      <xdr:colOff>273557</xdr:colOff>
      <xdr:row>135</xdr:row>
      <xdr:rowOff>130175</xdr:rowOff>
    </xdr:from>
    <xdr:ext cx="1431663" cy="600075"/>
    <xdr:pic>
      <xdr:nvPicPr>
        <xdr:cNvPr id="9" name="Picture 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28145740"/>
          <a:ext cx="1431925" cy="600075"/>
        </a:xfrm>
        <a:prstGeom prst="rect">
          <a:avLst/>
        </a:prstGeom>
      </xdr:spPr>
    </xdr:pic>
    <xdr:clientData/>
  </xdr:oneCellAnchor>
  <xdr:oneCellAnchor>
    <xdr:from>
      <xdr:col>0</xdr:col>
      <xdr:colOff>114300</xdr:colOff>
      <xdr:row>180</xdr:row>
      <xdr:rowOff>0</xdr:rowOff>
    </xdr:from>
    <xdr:ext cx="854075" cy="847725"/>
    <xdr:pic>
      <xdr:nvPicPr>
        <xdr:cNvPr id="10" name="Picture 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37350065"/>
          <a:ext cx="854075" cy="847725"/>
        </a:xfrm>
        <a:prstGeom prst="rect">
          <a:avLst/>
        </a:prstGeom>
      </xdr:spPr>
    </xdr:pic>
    <xdr:clientData/>
  </xdr:oneCellAnchor>
  <xdr:oneCellAnchor>
    <xdr:from>
      <xdr:col>7</xdr:col>
      <xdr:colOff>273557</xdr:colOff>
      <xdr:row>180</xdr:row>
      <xdr:rowOff>130175</xdr:rowOff>
    </xdr:from>
    <xdr:ext cx="1431663" cy="600075"/>
    <xdr:pic>
      <xdr:nvPicPr>
        <xdr:cNvPr id="11" name="Picture 1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37480240"/>
          <a:ext cx="1431925" cy="600075"/>
        </a:xfrm>
        <a:prstGeom prst="rect">
          <a:avLst/>
        </a:prstGeom>
      </xdr:spPr>
    </xdr:pic>
    <xdr:clientData/>
  </xdr:oneCellAnchor>
  <xdr:oneCellAnchor>
    <xdr:from>
      <xdr:col>0</xdr:col>
      <xdr:colOff>114300</xdr:colOff>
      <xdr:row>225</xdr:row>
      <xdr:rowOff>0</xdr:rowOff>
    </xdr:from>
    <xdr:ext cx="854075" cy="847725"/>
    <xdr:pic>
      <xdr:nvPicPr>
        <xdr:cNvPr id="12" name="Picture 1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46684565"/>
          <a:ext cx="854075" cy="847725"/>
        </a:xfrm>
        <a:prstGeom prst="rect">
          <a:avLst/>
        </a:prstGeom>
      </xdr:spPr>
    </xdr:pic>
    <xdr:clientData/>
  </xdr:oneCellAnchor>
  <xdr:oneCellAnchor>
    <xdr:from>
      <xdr:col>7</xdr:col>
      <xdr:colOff>273557</xdr:colOff>
      <xdr:row>225</xdr:row>
      <xdr:rowOff>130175</xdr:rowOff>
    </xdr:from>
    <xdr:ext cx="1431663" cy="600075"/>
    <xdr:pic>
      <xdr:nvPicPr>
        <xdr:cNvPr id="13" name="Picture 1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46814740"/>
          <a:ext cx="1431925" cy="600075"/>
        </a:xfrm>
        <a:prstGeom prst="rect">
          <a:avLst/>
        </a:prstGeom>
      </xdr:spPr>
    </xdr:pic>
    <xdr:clientData/>
  </xdr:oneCellAnchor>
  <xdr:oneCellAnchor>
    <xdr:from>
      <xdr:col>0</xdr:col>
      <xdr:colOff>114300</xdr:colOff>
      <xdr:row>270</xdr:row>
      <xdr:rowOff>0</xdr:rowOff>
    </xdr:from>
    <xdr:ext cx="854075" cy="847725"/>
    <xdr:pic>
      <xdr:nvPicPr>
        <xdr:cNvPr id="14" name="Picture 1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56019065"/>
          <a:ext cx="854075" cy="847725"/>
        </a:xfrm>
        <a:prstGeom prst="rect">
          <a:avLst/>
        </a:prstGeom>
      </xdr:spPr>
    </xdr:pic>
    <xdr:clientData/>
  </xdr:oneCellAnchor>
  <xdr:oneCellAnchor>
    <xdr:from>
      <xdr:col>7</xdr:col>
      <xdr:colOff>273557</xdr:colOff>
      <xdr:row>270</xdr:row>
      <xdr:rowOff>130175</xdr:rowOff>
    </xdr:from>
    <xdr:ext cx="1431663" cy="600075"/>
    <xdr:pic>
      <xdr:nvPicPr>
        <xdr:cNvPr id="15" name="Picture 1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56149240"/>
          <a:ext cx="1431925" cy="600075"/>
        </a:xfrm>
        <a:prstGeom prst="rect">
          <a:avLst/>
        </a:prstGeom>
      </xdr:spPr>
    </xdr:pic>
    <xdr:clientData/>
  </xdr:oneCellAnchor>
  <xdr:twoCellAnchor editAs="oneCell">
    <xdr:from>
      <xdr:col>0</xdr:col>
      <xdr:colOff>114300</xdr:colOff>
      <xdr:row>45</xdr:row>
      <xdr:rowOff>0</xdr:rowOff>
    </xdr:from>
    <xdr:to>
      <xdr:col>1</xdr:col>
      <xdr:colOff>596900</xdr:colOff>
      <xdr:row>49</xdr:row>
      <xdr:rowOff>38100</xdr:rowOff>
    </xdr:to>
    <xdr:pic>
      <xdr:nvPicPr>
        <xdr:cNvPr id="16" name="Picture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9346565"/>
          <a:ext cx="854075" cy="838200"/>
        </a:xfrm>
        <a:prstGeom prst="rect">
          <a:avLst/>
        </a:prstGeom>
      </xdr:spPr>
    </xdr:pic>
    <xdr:clientData/>
  </xdr:twoCellAnchor>
  <xdr:twoCellAnchor editAs="oneCell">
    <xdr:from>
      <xdr:col>7</xdr:col>
      <xdr:colOff>273557</xdr:colOff>
      <xdr:row>45</xdr:row>
      <xdr:rowOff>130175</xdr:rowOff>
    </xdr:from>
    <xdr:to>
      <xdr:col>8</xdr:col>
      <xdr:colOff>648207</xdr:colOff>
      <xdr:row>48</xdr:row>
      <xdr:rowOff>130175</xdr:rowOff>
    </xdr:to>
    <xdr:pic>
      <xdr:nvPicPr>
        <xdr:cNvPr id="17" name="Picture 1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9476740"/>
          <a:ext cx="1431925" cy="600075"/>
        </a:xfrm>
        <a:prstGeom prst="rect">
          <a:avLst/>
        </a:prstGeom>
      </xdr:spPr>
    </xdr:pic>
    <xdr:clientData/>
  </xdr:twoCellAnchor>
  <xdr:oneCellAnchor>
    <xdr:from>
      <xdr:col>0</xdr:col>
      <xdr:colOff>114300</xdr:colOff>
      <xdr:row>90</xdr:row>
      <xdr:rowOff>0</xdr:rowOff>
    </xdr:from>
    <xdr:ext cx="854075" cy="847725"/>
    <xdr:pic>
      <xdr:nvPicPr>
        <xdr:cNvPr id="18" name="Picture 1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18681065"/>
          <a:ext cx="854075" cy="847725"/>
        </a:xfrm>
        <a:prstGeom prst="rect">
          <a:avLst/>
        </a:prstGeom>
      </xdr:spPr>
    </xdr:pic>
    <xdr:clientData/>
  </xdr:oneCellAnchor>
  <xdr:oneCellAnchor>
    <xdr:from>
      <xdr:col>7</xdr:col>
      <xdr:colOff>273557</xdr:colOff>
      <xdr:row>90</xdr:row>
      <xdr:rowOff>130175</xdr:rowOff>
    </xdr:from>
    <xdr:ext cx="1431663" cy="600075"/>
    <xdr:pic>
      <xdr:nvPicPr>
        <xdr:cNvPr id="19" name="Picture 1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18811240"/>
          <a:ext cx="1431925" cy="600075"/>
        </a:xfrm>
        <a:prstGeom prst="rect">
          <a:avLst/>
        </a:prstGeom>
      </xdr:spPr>
    </xdr:pic>
    <xdr:clientData/>
  </xdr:oneCellAnchor>
  <xdr:twoCellAnchor editAs="oneCell">
    <xdr:from>
      <xdr:col>0</xdr:col>
      <xdr:colOff>114300</xdr:colOff>
      <xdr:row>90</xdr:row>
      <xdr:rowOff>0</xdr:rowOff>
    </xdr:from>
    <xdr:to>
      <xdr:col>1</xdr:col>
      <xdr:colOff>596900</xdr:colOff>
      <xdr:row>94</xdr:row>
      <xdr:rowOff>38100</xdr:rowOff>
    </xdr:to>
    <xdr:pic>
      <xdr:nvPicPr>
        <xdr:cNvPr id="20" name="Picture 1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18681065"/>
          <a:ext cx="854075" cy="838200"/>
        </a:xfrm>
        <a:prstGeom prst="rect">
          <a:avLst/>
        </a:prstGeom>
      </xdr:spPr>
    </xdr:pic>
    <xdr:clientData/>
  </xdr:twoCellAnchor>
  <xdr:twoCellAnchor editAs="oneCell">
    <xdr:from>
      <xdr:col>7</xdr:col>
      <xdr:colOff>273557</xdr:colOff>
      <xdr:row>90</xdr:row>
      <xdr:rowOff>130175</xdr:rowOff>
    </xdr:from>
    <xdr:to>
      <xdr:col>8</xdr:col>
      <xdr:colOff>648207</xdr:colOff>
      <xdr:row>93</xdr:row>
      <xdr:rowOff>130175</xdr:rowOff>
    </xdr:to>
    <xdr:pic>
      <xdr:nvPicPr>
        <xdr:cNvPr id="21" name="Picture 2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18811240"/>
          <a:ext cx="1431925" cy="600075"/>
        </a:xfrm>
        <a:prstGeom prst="rect">
          <a:avLst/>
        </a:prstGeom>
      </xdr:spPr>
    </xdr:pic>
    <xdr:clientData/>
  </xdr:twoCellAnchor>
  <xdr:oneCellAnchor>
    <xdr:from>
      <xdr:col>0</xdr:col>
      <xdr:colOff>114300</xdr:colOff>
      <xdr:row>135</xdr:row>
      <xdr:rowOff>0</xdr:rowOff>
    </xdr:from>
    <xdr:ext cx="854075" cy="847725"/>
    <xdr:pic>
      <xdr:nvPicPr>
        <xdr:cNvPr id="22" name="Picture 2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28015565"/>
          <a:ext cx="854075" cy="847725"/>
        </a:xfrm>
        <a:prstGeom prst="rect">
          <a:avLst/>
        </a:prstGeom>
      </xdr:spPr>
    </xdr:pic>
    <xdr:clientData/>
  </xdr:oneCellAnchor>
  <xdr:oneCellAnchor>
    <xdr:from>
      <xdr:col>7</xdr:col>
      <xdr:colOff>273557</xdr:colOff>
      <xdr:row>135</xdr:row>
      <xdr:rowOff>130175</xdr:rowOff>
    </xdr:from>
    <xdr:ext cx="1431663" cy="600075"/>
    <xdr:pic>
      <xdr:nvPicPr>
        <xdr:cNvPr id="23" name="Picture 2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28145740"/>
          <a:ext cx="1431925" cy="600075"/>
        </a:xfrm>
        <a:prstGeom prst="rect">
          <a:avLst/>
        </a:prstGeom>
      </xdr:spPr>
    </xdr:pic>
    <xdr:clientData/>
  </xdr:oneCellAnchor>
  <xdr:twoCellAnchor editAs="oneCell">
    <xdr:from>
      <xdr:col>0</xdr:col>
      <xdr:colOff>114300</xdr:colOff>
      <xdr:row>135</xdr:row>
      <xdr:rowOff>0</xdr:rowOff>
    </xdr:from>
    <xdr:to>
      <xdr:col>1</xdr:col>
      <xdr:colOff>596900</xdr:colOff>
      <xdr:row>139</xdr:row>
      <xdr:rowOff>38100</xdr:rowOff>
    </xdr:to>
    <xdr:pic>
      <xdr:nvPicPr>
        <xdr:cNvPr id="24" name="Picture 2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28015565"/>
          <a:ext cx="854075" cy="838200"/>
        </a:xfrm>
        <a:prstGeom prst="rect">
          <a:avLst/>
        </a:prstGeom>
      </xdr:spPr>
    </xdr:pic>
    <xdr:clientData/>
  </xdr:twoCellAnchor>
  <xdr:twoCellAnchor editAs="oneCell">
    <xdr:from>
      <xdr:col>7</xdr:col>
      <xdr:colOff>273557</xdr:colOff>
      <xdr:row>135</xdr:row>
      <xdr:rowOff>130175</xdr:rowOff>
    </xdr:from>
    <xdr:to>
      <xdr:col>8</xdr:col>
      <xdr:colOff>648207</xdr:colOff>
      <xdr:row>138</xdr:row>
      <xdr:rowOff>130175</xdr:rowOff>
    </xdr:to>
    <xdr:pic>
      <xdr:nvPicPr>
        <xdr:cNvPr id="25" name="Picture 2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28145740"/>
          <a:ext cx="1431925" cy="600075"/>
        </a:xfrm>
        <a:prstGeom prst="rect">
          <a:avLst/>
        </a:prstGeom>
      </xdr:spPr>
    </xdr:pic>
    <xdr:clientData/>
  </xdr:twoCellAnchor>
  <xdr:oneCellAnchor>
    <xdr:from>
      <xdr:col>0</xdr:col>
      <xdr:colOff>114300</xdr:colOff>
      <xdr:row>180</xdr:row>
      <xdr:rowOff>0</xdr:rowOff>
    </xdr:from>
    <xdr:ext cx="854075" cy="847725"/>
    <xdr:pic>
      <xdr:nvPicPr>
        <xdr:cNvPr id="26" name="Picture 2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37350065"/>
          <a:ext cx="854075" cy="847725"/>
        </a:xfrm>
        <a:prstGeom prst="rect">
          <a:avLst/>
        </a:prstGeom>
      </xdr:spPr>
    </xdr:pic>
    <xdr:clientData/>
  </xdr:oneCellAnchor>
  <xdr:oneCellAnchor>
    <xdr:from>
      <xdr:col>7</xdr:col>
      <xdr:colOff>273557</xdr:colOff>
      <xdr:row>180</xdr:row>
      <xdr:rowOff>130175</xdr:rowOff>
    </xdr:from>
    <xdr:ext cx="1431663" cy="600075"/>
    <xdr:pic>
      <xdr:nvPicPr>
        <xdr:cNvPr id="27" name="Picture 2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37480240"/>
          <a:ext cx="1431925" cy="600075"/>
        </a:xfrm>
        <a:prstGeom prst="rect">
          <a:avLst/>
        </a:prstGeom>
      </xdr:spPr>
    </xdr:pic>
    <xdr:clientData/>
  </xdr:oneCellAnchor>
  <xdr:twoCellAnchor editAs="oneCell">
    <xdr:from>
      <xdr:col>0</xdr:col>
      <xdr:colOff>114300</xdr:colOff>
      <xdr:row>180</xdr:row>
      <xdr:rowOff>0</xdr:rowOff>
    </xdr:from>
    <xdr:to>
      <xdr:col>1</xdr:col>
      <xdr:colOff>596900</xdr:colOff>
      <xdr:row>184</xdr:row>
      <xdr:rowOff>38100</xdr:rowOff>
    </xdr:to>
    <xdr:pic>
      <xdr:nvPicPr>
        <xdr:cNvPr id="28" name="Picture 2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37350065"/>
          <a:ext cx="854075" cy="838200"/>
        </a:xfrm>
        <a:prstGeom prst="rect">
          <a:avLst/>
        </a:prstGeom>
      </xdr:spPr>
    </xdr:pic>
    <xdr:clientData/>
  </xdr:twoCellAnchor>
  <xdr:twoCellAnchor editAs="oneCell">
    <xdr:from>
      <xdr:col>7</xdr:col>
      <xdr:colOff>273557</xdr:colOff>
      <xdr:row>180</xdr:row>
      <xdr:rowOff>130175</xdr:rowOff>
    </xdr:from>
    <xdr:to>
      <xdr:col>8</xdr:col>
      <xdr:colOff>648207</xdr:colOff>
      <xdr:row>183</xdr:row>
      <xdr:rowOff>130175</xdr:rowOff>
    </xdr:to>
    <xdr:pic>
      <xdr:nvPicPr>
        <xdr:cNvPr id="29" name="Picture 2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37480240"/>
          <a:ext cx="1431925" cy="600075"/>
        </a:xfrm>
        <a:prstGeom prst="rect">
          <a:avLst/>
        </a:prstGeom>
      </xdr:spPr>
    </xdr:pic>
    <xdr:clientData/>
  </xdr:twoCellAnchor>
  <xdr:oneCellAnchor>
    <xdr:from>
      <xdr:col>0</xdr:col>
      <xdr:colOff>114300</xdr:colOff>
      <xdr:row>225</xdr:row>
      <xdr:rowOff>0</xdr:rowOff>
    </xdr:from>
    <xdr:ext cx="854075" cy="847725"/>
    <xdr:pic>
      <xdr:nvPicPr>
        <xdr:cNvPr id="30" name="Picture 2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46684565"/>
          <a:ext cx="854075" cy="847725"/>
        </a:xfrm>
        <a:prstGeom prst="rect">
          <a:avLst/>
        </a:prstGeom>
      </xdr:spPr>
    </xdr:pic>
    <xdr:clientData/>
  </xdr:oneCellAnchor>
  <xdr:oneCellAnchor>
    <xdr:from>
      <xdr:col>7</xdr:col>
      <xdr:colOff>273557</xdr:colOff>
      <xdr:row>225</xdr:row>
      <xdr:rowOff>130175</xdr:rowOff>
    </xdr:from>
    <xdr:ext cx="1431663" cy="600075"/>
    <xdr:pic>
      <xdr:nvPicPr>
        <xdr:cNvPr id="31" name="Picture 3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46814740"/>
          <a:ext cx="1431925" cy="600075"/>
        </a:xfrm>
        <a:prstGeom prst="rect">
          <a:avLst/>
        </a:prstGeom>
      </xdr:spPr>
    </xdr:pic>
    <xdr:clientData/>
  </xdr:oneCellAnchor>
  <xdr:twoCellAnchor editAs="oneCell">
    <xdr:from>
      <xdr:col>0</xdr:col>
      <xdr:colOff>114300</xdr:colOff>
      <xdr:row>225</xdr:row>
      <xdr:rowOff>0</xdr:rowOff>
    </xdr:from>
    <xdr:to>
      <xdr:col>1</xdr:col>
      <xdr:colOff>596900</xdr:colOff>
      <xdr:row>229</xdr:row>
      <xdr:rowOff>38100</xdr:rowOff>
    </xdr:to>
    <xdr:pic>
      <xdr:nvPicPr>
        <xdr:cNvPr id="32" name="Picture 3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46684565"/>
          <a:ext cx="854075" cy="838200"/>
        </a:xfrm>
        <a:prstGeom prst="rect">
          <a:avLst/>
        </a:prstGeom>
      </xdr:spPr>
    </xdr:pic>
    <xdr:clientData/>
  </xdr:twoCellAnchor>
  <xdr:twoCellAnchor editAs="oneCell">
    <xdr:from>
      <xdr:col>7</xdr:col>
      <xdr:colOff>273557</xdr:colOff>
      <xdr:row>225</xdr:row>
      <xdr:rowOff>130175</xdr:rowOff>
    </xdr:from>
    <xdr:to>
      <xdr:col>8</xdr:col>
      <xdr:colOff>648207</xdr:colOff>
      <xdr:row>228</xdr:row>
      <xdr:rowOff>130175</xdr:rowOff>
    </xdr:to>
    <xdr:pic>
      <xdr:nvPicPr>
        <xdr:cNvPr id="33" name="Picture 3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46814740"/>
          <a:ext cx="1431925" cy="600075"/>
        </a:xfrm>
        <a:prstGeom prst="rect">
          <a:avLst/>
        </a:prstGeom>
      </xdr:spPr>
    </xdr:pic>
    <xdr:clientData/>
  </xdr:twoCellAnchor>
  <xdr:oneCellAnchor>
    <xdr:from>
      <xdr:col>0</xdr:col>
      <xdr:colOff>114300</xdr:colOff>
      <xdr:row>270</xdr:row>
      <xdr:rowOff>0</xdr:rowOff>
    </xdr:from>
    <xdr:ext cx="854075" cy="847725"/>
    <xdr:pic>
      <xdr:nvPicPr>
        <xdr:cNvPr id="34" name="Picture 3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56019065"/>
          <a:ext cx="854075" cy="847725"/>
        </a:xfrm>
        <a:prstGeom prst="rect">
          <a:avLst/>
        </a:prstGeom>
      </xdr:spPr>
    </xdr:pic>
    <xdr:clientData/>
  </xdr:oneCellAnchor>
  <xdr:oneCellAnchor>
    <xdr:from>
      <xdr:col>7</xdr:col>
      <xdr:colOff>273557</xdr:colOff>
      <xdr:row>270</xdr:row>
      <xdr:rowOff>130175</xdr:rowOff>
    </xdr:from>
    <xdr:ext cx="1431663" cy="600075"/>
    <xdr:pic>
      <xdr:nvPicPr>
        <xdr:cNvPr id="35" name="Picture 34"/>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56149240"/>
          <a:ext cx="1431925" cy="600075"/>
        </a:xfrm>
        <a:prstGeom prst="rect">
          <a:avLst/>
        </a:prstGeom>
      </xdr:spPr>
    </xdr:pic>
    <xdr:clientData/>
  </xdr:oneCellAnchor>
  <xdr:twoCellAnchor editAs="oneCell">
    <xdr:from>
      <xdr:col>0</xdr:col>
      <xdr:colOff>114300</xdr:colOff>
      <xdr:row>270</xdr:row>
      <xdr:rowOff>0</xdr:rowOff>
    </xdr:from>
    <xdr:to>
      <xdr:col>1</xdr:col>
      <xdr:colOff>596900</xdr:colOff>
      <xdr:row>274</xdr:row>
      <xdr:rowOff>38100</xdr:rowOff>
    </xdr:to>
    <xdr:pic>
      <xdr:nvPicPr>
        <xdr:cNvPr id="36" name="Picture 3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56019065"/>
          <a:ext cx="854075" cy="838200"/>
        </a:xfrm>
        <a:prstGeom prst="rect">
          <a:avLst/>
        </a:prstGeom>
      </xdr:spPr>
    </xdr:pic>
    <xdr:clientData/>
  </xdr:twoCellAnchor>
  <xdr:twoCellAnchor editAs="oneCell">
    <xdr:from>
      <xdr:col>7</xdr:col>
      <xdr:colOff>273557</xdr:colOff>
      <xdr:row>270</xdr:row>
      <xdr:rowOff>130175</xdr:rowOff>
    </xdr:from>
    <xdr:to>
      <xdr:col>8</xdr:col>
      <xdr:colOff>648207</xdr:colOff>
      <xdr:row>273</xdr:row>
      <xdr:rowOff>130175</xdr:rowOff>
    </xdr:to>
    <xdr:pic>
      <xdr:nvPicPr>
        <xdr:cNvPr id="37" name="Picture 36"/>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56149240"/>
          <a:ext cx="1431925" cy="600075"/>
        </a:xfrm>
        <a:prstGeom prst="rect">
          <a:avLst/>
        </a:prstGeom>
      </xdr:spPr>
    </xdr:pic>
    <xdr:clientData/>
  </xdr:twoCellAnchor>
  <xdr:oneCellAnchor>
    <xdr:from>
      <xdr:col>0</xdr:col>
      <xdr:colOff>114300</xdr:colOff>
      <xdr:row>314</xdr:row>
      <xdr:rowOff>0</xdr:rowOff>
    </xdr:from>
    <xdr:ext cx="854075" cy="838200"/>
    <xdr:pic>
      <xdr:nvPicPr>
        <xdr:cNvPr id="38" name="Picture 3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65153540"/>
          <a:ext cx="854075" cy="838200"/>
        </a:xfrm>
        <a:prstGeom prst="rect">
          <a:avLst/>
        </a:prstGeom>
      </xdr:spPr>
    </xdr:pic>
    <xdr:clientData/>
  </xdr:oneCellAnchor>
  <xdr:oneCellAnchor>
    <xdr:from>
      <xdr:col>7</xdr:col>
      <xdr:colOff>273557</xdr:colOff>
      <xdr:row>314</xdr:row>
      <xdr:rowOff>130175</xdr:rowOff>
    </xdr:from>
    <xdr:ext cx="1431925" cy="600075"/>
    <xdr:pic>
      <xdr:nvPicPr>
        <xdr:cNvPr id="39" name="Picture 38"/>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65283715"/>
          <a:ext cx="1431925" cy="600075"/>
        </a:xfrm>
        <a:prstGeom prst="rect">
          <a:avLst/>
        </a:prstGeom>
      </xdr:spPr>
    </xdr:pic>
    <xdr:clientData/>
  </xdr:oneCellAnchor>
  <xdr:oneCellAnchor>
    <xdr:from>
      <xdr:col>0</xdr:col>
      <xdr:colOff>114300</xdr:colOff>
      <xdr:row>358</xdr:row>
      <xdr:rowOff>0</xdr:rowOff>
    </xdr:from>
    <xdr:ext cx="854075" cy="838200"/>
    <xdr:pic>
      <xdr:nvPicPr>
        <xdr:cNvPr id="40" name="Picture 39"/>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74288015"/>
          <a:ext cx="854075" cy="838200"/>
        </a:xfrm>
        <a:prstGeom prst="rect">
          <a:avLst/>
        </a:prstGeom>
      </xdr:spPr>
    </xdr:pic>
    <xdr:clientData/>
  </xdr:oneCellAnchor>
  <xdr:oneCellAnchor>
    <xdr:from>
      <xdr:col>7</xdr:col>
      <xdr:colOff>273557</xdr:colOff>
      <xdr:row>358</xdr:row>
      <xdr:rowOff>130175</xdr:rowOff>
    </xdr:from>
    <xdr:ext cx="1431925" cy="600075"/>
    <xdr:pic>
      <xdr:nvPicPr>
        <xdr:cNvPr id="41" name="Picture 40"/>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74418190"/>
          <a:ext cx="1431925" cy="600075"/>
        </a:xfrm>
        <a:prstGeom prst="rect">
          <a:avLst/>
        </a:prstGeom>
      </xdr:spPr>
    </xdr:pic>
    <xdr:clientData/>
  </xdr:oneCellAnchor>
  <xdr:oneCellAnchor>
    <xdr:from>
      <xdr:col>0</xdr:col>
      <xdr:colOff>114300</xdr:colOff>
      <xdr:row>402</xdr:row>
      <xdr:rowOff>0</xdr:rowOff>
    </xdr:from>
    <xdr:ext cx="854075" cy="838200"/>
    <xdr:pic>
      <xdr:nvPicPr>
        <xdr:cNvPr id="42" name="Picture 4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14300" y="83470115"/>
          <a:ext cx="854075" cy="838200"/>
        </a:xfrm>
        <a:prstGeom prst="rect">
          <a:avLst/>
        </a:prstGeom>
      </xdr:spPr>
    </xdr:pic>
    <xdr:clientData/>
  </xdr:oneCellAnchor>
  <xdr:oneCellAnchor>
    <xdr:from>
      <xdr:col>7</xdr:col>
      <xdr:colOff>273557</xdr:colOff>
      <xdr:row>402</xdr:row>
      <xdr:rowOff>130175</xdr:rowOff>
    </xdr:from>
    <xdr:ext cx="1431925" cy="600075"/>
    <xdr:pic>
      <xdr:nvPicPr>
        <xdr:cNvPr id="43" name="Picture 4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6845300" y="83600290"/>
          <a:ext cx="1431925" cy="600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cer\OneDrive\Documents\OneDrive\Desktop\FILE%20LANTABUR\RAPORT_AN%20NAAS%20_SDA%20LANTABUR\Raport%20SMTR%202%20-%20AN%20NAAS%20-%20Copy.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MENU"/>
      <sheetName val="DATA SISWA"/>
      <sheetName val="PAI"/>
      <sheetName val="ADAB"/>
      <sheetName val="LITERASI"/>
      <sheetName val="SAINS"/>
      <sheetName val="UMMI"/>
      <sheetName val="TAHFIZH"/>
      <sheetName val="RAPORT"/>
      <sheetName val="PRAKTIK"/>
    </sheetNames>
    <sheetDataSet>
      <sheetData sheetId="0" refreshError="1"/>
      <sheetData sheetId="1" refreshError="1"/>
      <sheetData sheetId="2" refreshError="1"/>
      <sheetData sheetId="3" refreshError="1">
        <row r="3">
          <cell r="C3" t="str">
            <v>SD AL QUR'AN LANTABUR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399975585192419"/>
  </sheetPr>
  <dimension ref="A2:Q18"/>
  <sheetViews>
    <sheetView workbookViewId="0">
      <pane xSplit="2" topLeftCell="K1" activePane="topRight" state="frozen"/>
      <selection/>
      <selection pane="topRight" activeCell="A9" sqref="A9:B16"/>
    </sheetView>
  </sheetViews>
  <sheetFormatPr defaultColWidth="9.14285714285714" defaultRowHeight="15"/>
  <cols>
    <col min="1" max="1" width="3.85714285714286" customWidth="1"/>
    <col min="2" max="2" width="44.1428571428571" customWidth="1"/>
    <col min="3" max="3" width="7.57142857142857" customWidth="1"/>
    <col min="5" max="5" width="29.4285714285714" customWidth="1"/>
    <col min="6" max="6" width="6.14285714285714" customWidth="1"/>
    <col min="9" max="9" width="28.2857142857143" customWidth="1"/>
    <col min="10" max="10" width="25.4285714285714" customWidth="1"/>
    <col min="11" max="11" width="50" customWidth="1"/>
    <col min="12" max="12" width="26.2857142857143" customWidth="1"/>
    <col min="13" max="13" width="27.5714285714286" customWidth="1"/>
    <col min="14" max="14" width="18.5714285714286" customWidth="1"/>
    <col min="15" max="15" width="17.5714285714286" customWidth="1"/>
    <col min="16" max="16" width="16.7142857142857" customWidth="1"/>
    <col min="17" max="17" width="27.1428571428571" customWidth="1"/>
  </cols>
  <sheetData>
    <row r="2" spans="1:2">
      <c r="A2" t="s">
        <v>0</v>
      </c>
      <c r="B2" t="s">
        <v>1</v>
      </c>
    </row>
    <row r="3" spans="1:2">
      <c r="A3" t="s">
        <v>2</v>
      </c>
      <c r="B3" t="s">
        <v>3</v>
      </c>
    </row>
    <row r="4" spans="1:2">
      <c r="A4" t="s">
        <v>4</v>
      </c>
      <c r="B4" t="s">
        <v>5</v>
      </c>
    </row>
    <row r="5" spans="1:2">
      <c r="A5" t="s">
        <v>6</v>
      </c>
      <c r="B5" t="s">
        <v>7</v>
      </c>
    </row>
    <row r="6" ht="15.75"/>
    <row r="7" spans="1:17">
      <c r="A7" s="327" t="s">
        <v>8</v>
      </c>
      <c r="B7" s="328" t="s">
        <v>9</v>
      </c>
      <c r="C7" s="328" t="s">
        <v>10</v>
      </c>
      <c r="D7" s="328" t="s">
        <v>11</v>
      </c>
      <c r="E7" s="328" t="s">
        <v>12</v>
      </c>
      <c r="F7" s="328" t="s">
        <v>13</v>
      </c>
      <c r="G7" s="329" t="s">
        <v>14</v>
      </c>
      <c r="H7" s="329" t="s">
        <v>15</v>
      </c>
      <c r="I7" s="329" t="s">
        <v>16</v>
      </c>
      <c r="J7" s="329" t="s">
        <v>17</v>
      </c>
      <c r="K7" s="329" t="s">
        <v>18</v>
      </c>
      <c r="L7" s="329" t="s">
        <v>19</v>
      </c>
      <c r="M7" s="329" t="s">
        <v>20</v>
      </c>
      <c r="N7" s="329" t="s">
        <v>21</v>
      </c>
      <c r="O7" s="329" t="s">
        <v>22</v>
      </c>
      <c r="P7" s="329" t="s">
        <v>23</v>
      </c>
      <c r="Q7" s="359" t="s">
        <v>24</v>
      </c>
    </row>
    <row r="8" ht="15.75" spans="1:17">
      <c r="A8" s="330">
        <v>1</v>
      </c>
      <c r="B8" s="331">
        <v>2</v>
      </c>
      <c r="C8" s="331">
        <v>3</v>
      </c>
      <c r="D8" s="331">
        <v>4</v>
      </c>
      <c r="E8" s="331">
        <v>5</v>
      </c>
      <c r="F8" s="331">
        <v>6</v>
      </c>
      <c r="G8" s="331">
        <v>7</v>
      </c>
      <c r="H8" s="331">
        <v>8</v>
      </c>
      <c r="I8" s="331">
        <v>9</v>
      </c>
      <c r="J8" s="331">
        <v>10</v>
      </c>
      <c r="K8" s="331">
        <v>11</v>
      </c>
      <c r="L8" s="331">
        <v>12</v>
      </c>
      <c r="M8" s="331">
        <v>13</v>
      </c>
      <c r="N8" s="331">
        <v>14</v>
      </c>
      <c r="O8" s="331">
        <v>15</v>
      </c>
      <c r="P8" s="331">
        <v>16</v>
      </c>
      <c r="Q8" s="360">
        <v>17</v>
      </c>
    </row>
    <row r="9" spans="1:17">
      <c r="A9" s="332">
        <v>1</v>
      </c>
      <c r="B9" s="333" t="s">
        <v>25</v>
      </c>
      <c r="C9" s="334"/>
      <c r="D9" s="334"/>
      <c r="E9" s="334" t="s">
        <v>26</v>
      </c>
      <c r="F9" s="335" t="s">
        <v>27</v>
      </c>
      <c r="G9" s="336" t="s">
        <v>28</v>
      </c>
      <c r="H9" s="335">
        <v>3</v>
      </c>
      <c r="I9" s="335">
        <v>3</v>
      </c>
      <c r="J9" s="335" t="s">
        <v>29</v>
      </c>
      <c r="K9" s="334" t="s">
        <v>30</v>
      </c>
      <c r="L9" s="334" t="s">
        <v>31</v>
      </c>
      <c r="M9" s="334" t="s">
        <v>32</v>
      </c>
      <c r="N9" s="334" t="s">
        <v>33</v>
      </c>
      <c r="O9" s="335" t="s">
        <v>34</v>
      </c>
      <c r="P9" s="353" t="s">
        <v>35</v>
      </c>
      <c r="Q9" s="341"/>
    </row>
    <row r="10" spans="1:17">
      <c r="A10" s="332">
        <v>2</v>
      </c>
      <c r="B10" s="337" t="s">
        <v>36</v>
      </c>
      <c r="C10" s="338"/>
      <c r="D10" s="338"/>
      <c r="E10" s="338" t="s">
        <v>37</v>
      </c>
      <c r="F10" s="339" t="s">
        <v>38</v>
      </c>
      <c r="G10" s="340" t="s">
        <v>28</v>
      </c>
      <c r="H10" s="339">
        <v>1</v>
      </c>
      <c r="I10" s="339">
        <v>2</v>
      </c>
      <c r="J10" s="339" t="s">
        <v>29</v>
      </c>
      <c r="K10" s="338" t="s">
        <v>39</v>
      </c>
      <c r="L10" s="338" t="s">
        <v>40</v>
      </c>
      <c r="M10" s="338" t="s">
        <v>41</v>
      </c>
      <c r="N10" s="338" t="s">
        <v>42</v>
      </c>
      <c r="O10" s="339" t="s">
        <v>43</v>
      </c>
      <c r="P10" s="354"/>
      <c r="Q10" s="338"/>
    </row>
    <row r="11" spans="1:17">
      <c r="A11" s="332">
        <v>3</v>
      </c>
      <c r="B11" s="337" t="s">
        <v>44</v>
      </c>
      <c r="C11" s="341"/>
      <c r="D11" s="341"/>
      <c r="E11" s="338" t="s">
        <v>45</v>
      </c>
      <c r="F11" s="339" t="s">
        <v>38</v>
      </c>
      <c r="G11" s="340" t="s">
        <v>28</v>
      </c>
      <c r="H11" s="339">
        <v>1</v>
      </c>
      <c r="I11" s="339">
        <v>1</v>
      </c>
      <c r="J11" s="339" t="s">
        <v>29</v>
      </c>
      <c r="K11" s="338" t="s">
        <v>46</v>
      </c>
      <c r="L11" s="338" t="s">
        <v>31</v>
      </c>
      <c r="M11" s="338" t="s">
        <v>47</v>
      </c>
      <c r="N11" s="338" t="s">
        <v>48</v>
      </c>
      <c r="O11" s="339" t="s">
        <v>49</v>
      </c>
      <c r="P11" s="354" t="s">
        <v>35</v>
      </c>
      <c r="Q11" s="338"/>
    </row>
    <row r="12" spans="1:17">
      <c r="A12" s="332">
        <v>4</v>
      </c>
      <c r="B12" s="342" t="s">
        <v>50</v>
      </c>
      <c r="C12" s="338"/>
      <c r="D12" s="338"/>
      <c r="E12" s="341" t="s">
        <v>51</v>
      </c>
      <c r="F12" s="343" t="s">
        <v>38</v>
      </c>
      <c r="G12" s="344" t="s">
        <v>28</v>
      </c>
      <c r="H12" s="343">
        <v>2</v>
      </c>
      <c r="I12" s="343">
        <v>1</v>
      </c>
      <c r="J12" s="343" t="s">
        <v>29</v>
      </c>
      <c r="K12" s="341" t="s">
        <v>52</v>
      </c>
      <c r="L12" s="341" t="s">
        <v>53</v>
      </c>
      <c r="M12" s="341" t="s">
        <v>54</v>
      </c>
      <c r="N12" s="341" t="s">
        <v>55</v>
      </c>
      <c r="O12" s="343" t="s">
        <v>43</v>
      </c>
      <c r="P12" s="355" t="s">
        <v>35</v>
      </c>
      <c r="Q12" s="338"/>
    </row>
    <row r="13" spans="1:17">
      <c r="A13" s="332">
        <v>5</v>
      </c>
      <c r="B13" s="337" t="s">
        <v>56</v>
      </c>
      <c r="C13" s="338"/>
      <c r="D13" s="338"/>
      <c r="E13" s="338" t="s">
        <v>57</v>
      </c>
      <c r="F13" s="339" t="s">
        <v>38</v>
      </c>
      <c r="G13" s="340" t="s">
        <v>28</v>
      </c>
      <c r="H13" s="339">
        <v>5</v>
      </c>
      <c r="I13" s="339">
        <v>4</v>
      </c>
      <c r="J13" s="339" t="s">
        <v>29</v>
      </c>
      <c r="K13" s="338" t="s">
        <v>58</v>
      </c>
      <c r="L13" s="338" t="s">
        <v>59</v>
      </c>
      <c r="M13" s="338" t="s">
        <v>60</v>
      </c>
      <c r="N13" s="338" t="s">
        <v>61</v>
      </c>
      <c r="O13" s="339" t="s">
        <v>43</v>
      </c>
      <c r="P13" s="354" t="s">
        <v>35</v>
      </c>
      <c r="Q13" s="361" t="s">
        <v>62</v>
      </c>
    </row>
    <row r="14" spans="1:17">
      <c r="A14" s="332">
        <v>6</v>
      </c>
      <c r="B14" s="337" t="s">
        <v>63</v>
      </c>
      <c r="C14" s="338"/>
      <c r="D14" s="338"/>
      <c r="E14" s="338" t="s">
        <v>64</v>
      </c>
      <c r="F14" s="339" t="s">
        <v>38</v>
      </c>
      <c r="G14" s="340" t="s">
        <v>28</v>
      </c>
      <c r="H14" s="339">
        <v>4</v>
      </c>
      <c r="I14" s="339">
        <v>3</v>
      </c>
      <c r="J14" s="339" t="s">
        <v>29</v>
      </c>
      <c r="K14" s="338" t="s">
        <v>65</v>
      </c>
      <c r="L14" s="338" t="s">
        <v>66</v>
      </c>
      <c r="M14" s="338" t="s">
        <v>67</v>
      </c>
      <c r="N14" s="338" t="s">
        <v>68</v>
      </c>
      <c r="O14" s="339" t="s">
        <v>69</v>
      </c>
      <c r="P14" s="354" t="s">
        <v>35</v>
      </c>
      <c r="Q14" s="338"/>
    </row>
    <row r="15" spans="1:17">
      <c r="A15" s="332">
        <v>7</v>
      </c>
      <c r="B15" s="337" t="s">
        <v>70</v>
      </c>
      <c r="C15" s="338"/>
      <c r="D15" s="338"/>
      <c r="E15" s="338" t="s">
        <v>71</v>
      </c>
      <c r="F15" s="339" t="s">
        <v>27</v>
      </c>
      <c r="G15" s="340" t="s">
        <v>28</v>
      </c>
      <c r="H15" s="339">
        <v>4</v>
      </c>
      <c r="I15" s="339">
        <v>3</v>
      </c>
      <c r="J15" s="339" t="s">
        <v>29</v>
      </c>
      <c r="K15" s="338" t="s">
        <v>72</v>
      </c>
      <c r="L15" s="338" t="s">
        <v>73</v>
      </c>
      <c r="M15" s="356" t="s">
        <v>74</v>
      </c>
      <c r="N15" s="356" t="s">
        <v>75</v>
      </c>
      <c r="O15" s="339" t="s">
        <v>31</v>
      </c>
      <c r="P15" s="354" t="s">
        <v>35</v>
      </c>
      <c r="Q15" s="338"/>
    </row>
    <row r="16" ht="15.75" spans="1:17">
      <c r="A16" s="345">
        <v>8</v>
      </c>
      <c r="B16" s="346" t="s">
        <v>76</v>
      </c>
      <c r="C16" s="347"/>
      <c r="D16" s="347"/>
      <c r="E16" s="347" t="s">
        <v>77</v>
      </c>
      <c r="F16" s="348" t="s">
        <v>27</v>
      </c>
      <c r="G16" s="349" t="s">
        <v>28</v>
      </c>
      <c r="H16" s="348">
        <v>2</v>
      </c>
      <c r="I16" s="348">
        <v>2</v>
      </c>
      <c r="J16" s="348" t="s">
        <v>29</v>
      </c>
      <c r="K16" s="347" t="s">
        <v>78</v>
      </c>
      <c r="L16" s="347" t="s">
        <v>79</v>
      </c>
      <c r="M16" s="347" t="s">
        <v>80</v>
      </c>
      <c r="N16" s="347" t="s">
        <v>81</v>
      </c>
      <c r="O16" s="348" t="s">
        <v>43</v>
      </c>
      <c r="P16" s="357" t="s">
        <v>43</v>
      </c>
      <c r="Q16" s="347"/>
    </row>
    <row r="17" spans="1:17">
      <c r="A17" s="350"/>
      <c r="B17" s="351"/>
      <c r="C17" s="352"/>
      <c r="D17" s="351"/>
      <c r="E17" s="351"/>
      <c r="F17" s="352"/>
      <c r="G17" s="352"/>
      <c r="H17" s="352"/>
      <c r="I17" s="352"/>
      <c r="J17" s="352"/>
      <c r="K17" s="358"/>
      <c r="L17" s="358"/>
      <c r="M17" s="358"/>
      <c r="N17" s="351"/>
      <c r="O17" s="358"/>
      <c r="P17" s="358"/>
      <c r="Q17" s="351"/>
    </row>
    <row r="18" spans="1:17">
      <c r="A18" s="350"/>
      <c r="B18" s="351"/>
      <c r="C18" s="352"/>
      <c r="D18" s="351"/>
      <c r="E18" s="351"/>
      <c r="F18" s="352"/>
      <c r="G18" s="352"/>
      <c r="H18" s="352"/>
      <c r="I18" s="352"/>
      <c r="J18" s="352"/>
      <c r="K18" s="358"/>
      <c r="L18" s="358"/>
      <c r="M18" s="358"/>
      <c r="N18" s="351"/>
      <c r="O18" s="358"/>
      <c r="P18" s="358"/>
      <c r="Q18" s="35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399975585192419"/>
  </sheetPr>
  <dimension ref="A2:AM15"/>
  <sheetViews>
    <sheetView tabSelected="1" topLeftCell="A2" workbookViewId="0">
      <pane xSplit="2" topLeftCell="N1" activePane="topRight" state="frozen"/>
      <selection/>
      <selection pane="topRight" activeCell="N6" sqref="N6"/>
    </sheetView>
  </sheetViews>
  <sheetFormatPr defaultColWidth="9.14285714285714" defaultRowHeight="15"/>
  <cols>
    <col min="1" max="1" width="4" customWidth="1"/>
    <col min="2" max="2" width="44.5714285714286" customWidth="1"/>
    <col min="3" max="12" width="3.71428571428571" customWidth="1"/>
    <col min="13" max="13" width="8.57142857142857" customWidth="1"/>
    <col min="14" max="23" width="3.71428571428571" customWidth="1"/>
    <col min="24" max="24" width="8.57142857142857" customWidth="1"/>
    <col min="25" max="34" width="3.71428571428571" customWidth="1"/>
    <col min="35" max="35" width="8.42857142857143" customWidth="1"/>
    <col min="36" max="36" width="10.2857142857143" customWidth="1"/>
  </cols>
  <sheetData>
    <row r="2" spans="36:37">
      <c r="AJ2" s="211" t="s">
        <v>82</v>
      </c>
      <c r="AK2" s="211"/>
    </row>
    <row r="3" spans="36:37">
      <c r="AJ3" s="312">
        <v>0.9</v>
      </c>
      <c r="AK3" s="312">
        <v>0.1</v>
      </c>
    </row>
    <row r="4" spans="1:39">
      <c r="A4" s="211" t="s">
        <v>83</v>
      </c>
      <c r="B4" s="211" t="s">
        <v>84</v>
      </c>
      <c r="C4" s="211" t="s">
        <v>85</v>
      </c>
      <c r="D4" s="211"/>
      <c r="E4" s="211"/>
      <c r="F4" s="211"/>
      <c r="G4" s="211"/>
      <c r="H4" s="211"/>
      <c r="I4" s="211"/>
      <c r="J4" s="211"/>
      <c r="K4" s="211"/>
      <c r="L4" s="211"/>
      <c r="M4" s="310" t="s">
        <v>86</v>
      </c>
      <c r="N4" s="211" t="s">
        <v>87</v>
      </c>
      <c r="O4" s="211"/>
      <c r="P4" s="211"/>
      <c r="Q4" s="211"/>
      <c r="R4" s="211"/>
      <c r="S4" s="211"/>
      <c r="T4" s="211"/>
      <c r="U4" s="211"/>
      <c r="V4" s="211"/>
      <c r="W4" s="211"/>
      <c r="X4" s="310" t="s">
        <v>88</v>
      </c>
      <c r="Y4" s="211" t="s">
        <v>89</v>
      </c>
      <c r="Z4" s="211"/>
      <c r="AA4" s="211"/>
      <c r="AB4" s="211"/>
      <c r="AC4" s="211"/>
      <c r="AD4" s="211"/>
      <c r="AE4" s="211"/>
      <c r="AF4" s="211"/>
      <c r="AG4" s="211"/>
      <c r="AH4" s="211"/>
      <c r="AI4" s="310" t="s">
        <v>90</v>
      </c>
      <c r="AJ4" s="313" t="s">
        <v>91</v>
      </c>
      <c r="AK4" s="314" t="s">
        <v>92</v>
      </c>
      <c r="AL4" s="315" t="s">
        <v>93</v>
      </c>
      <c r="AM4" s="322" t="s">
        <v>94</v>
      </c>
    </row>
    <row r="5" spans="1:39">
      <c r="A5" s="306"/>
      <c r="B5" s="306"/>
      <c r="C5" s="307">
        <v>1</v>
      </c>
      <c r="D5" s="307">
        <v>2</v>
      </c>
      <c r="E5" s="307">
        <v>3</v>
      </c>
      <c r="F5" s="307">
        <v>4</v>
      </c>
      <c r="G5" s="307">
        <v>5</v>
      </c>
      <c r="H5" s="307">
        <v>6</v>
      </c>
      <c r="I5" s="307">
        <v>7</v>
      </c>
      <c r="J5" s="307">
        <v>8</v>
      </c>
      <c r="K5" s="307">
        <v>9</v>
      </c>
      <c r="L5" s="307">
        <v>10</v>
      </c>
      <c r="M5" s="310"/>
      <c r="N5" s="307">
        <v>1</v>
      </c>
      <c r="O5" s="307">
        <v>2</v>
      </c>
      <c r="P5" s="307">
        <v>3</v>
      </c>
      <c r="Q5" s="307">
        <v>4</v>
      </c>
      <c r="R5" s="307">
        <v>5</v>
      </c>
      <c r="S5" s="307">
        <v>6</v>
      </c>
      <c r="T5" s="307">
        <v>7</v>
      </c>
      <c r="U5" s="307">
        <v>8</v>
      </c>
      <c r="V5" s="307">
        <v>9</v>
      </c>
      <c r="W5" s="307">
        <v>10</v>
      </c>
      <c r="X5" s="310"/>
      <c r="Y5" s="307">
        <v>1</v>
      </c>
      <c r="Z5" s="307">
        <v>2</v>
      </c>
      <c r="AA5" s="307">
        <v>3</v>
      </c>
      <c r="AB5" s="307">
        <v>4</v>
      </c>
      <c r="AC5" s="307">
        <v>5</v>
      </c>
      <c r="AD5" s="307">
        <v>6</v>
      </c>
      <c r="AE5" s="307">
        <v>7</v>
      </c>
      <c r="AF5" s="307">
        <v>8</v>
      </c>
      <c r="AG5" s="307">
        <v>9</v>
      </c>
      <c r="AH5" s="307">
        <v>10</v>
      </c>
      <c r="AI5" s="310"/>
      <c r="AJ5" s="313"/>
      <c r="AK5" s="314"/>
      <c r="AL5" s="315"/>
      <c r="AM5" s="323"/>
    </row>
    <row r="6" spans="1:39">
      <c r="A6" s="306">
        <v>1</v>
      </c>
      <c r="B6" s="289" t="s">
        <v>25</v>
      </c>
      <c r="C6" s="211"/>
      <c r="D6" s="211"/>
      <c r="E6" s="211"/>
      <c r="F6" s="211"/>
      <c r="G6" s="211"/>
      <c r="H6" s="211"/>
      <c r="I6" s="211"/>
      <c r="J6" s="211"/>
      <c r="K6" s="211"/>
      <c r="L6" s="211"/>
      <c r="M6" s="311" t="e">
        <f>AVERAGE(C6:L6)</f>
        <v>#DIV/0!</v>
      </c>
      <c r="N6" s="211"/>
      <c r="O6" s="211"/>
      <c r="P6" s="211"/>
      <c r="Q6" s="211"/>
      <c r="R6" s="211"/>
      <c r="S6" s="211"/>
      <c r="T6" s="211"/>
      <c r="U6" s="211"/>
      <c r="V6" s="211"/>
      <c r="W6" s="211"/>
      <c r="X6" s="311" t="e">
        <f>AVERAGE(N6:W6)</f>
        <v>#DIV/0!</v>
      </c>
      <c r="Y6" s="211">
        <v>100</v>
      </c>
      <c r="Z6" s="211">
        <v>100</v>
      </c>
      <c r="AA6" s="211">
        <v>40</v>
      </c>
      <c r="AB6" s="211">
        <v>100</v>
      </c>
      <c r="AC6" s="211"/>
      <c r="AD6" s="211"/>
      <c r="AE6" s="211"/>
      <c r="AF6" s="211"/>
      <c r="AG6" s="211"/>
      <c r="AH6" s="211"/>
      <c r="AI6" s="311">
        <f>AVERAGE(Y6:AH6)</f>
        <v>85</v>
      </c>
      <c r="AJ6" s="317" t="e">
        <f>AVERAGE(X6,AI6)</f>
        <v>#DIV/0!</v>
      </c>
      <c r="AK6" s="318">
        <v>96</v>
      </c>
      <c r="AL6" s="319" t="e">
        <f>SUMPRODUCT($AJ$3:$AK$3,AJ6:AK6)</f>
        <v>#DIV/0!</v>
      </c>
      <c r="AM6" s="319" t="e">
        <f>ROUND(AL6,0)</f>
        <v>#DIV/0!</v>
      </c>
    </row>
    <row r="7" spans="1:39">
      <c r="A7" s="306">
        <v>2</v>
      </c>
      <c r="B7" s="289" t="s">
        <v>36</v>
      </c>
      <c r="C7" s="211"/>
      <c r="D7" s="211"/>
      <c r="E7" s="211"/>
      <c r="F7" s="211"/>
      <c r="G7" s="211"/>
      <c r="H7" s="211"/>
      <c r="I7" s="211"/>
      <c r="J7" s="211"/>
      <c r="K7" s="211"/>
      <c r="L7" s="211"/>
      <c r="M7" s="311" t="e">
        <f t="shared" ref="M7:M15" si="0">AVERAGE(C7:L7)</f>
        <v>#DIV/0!</v>
      </c>
      <c r="N7" s="211"/>
      <c r="O7" s="211"/>
      <c r="P7" s="211"/>
      <c r="Q7" s="211"/>
      <c r="R7" s="211"/>
      <c r="S7" s="211"/>
      <c r="T7" s="211"/>
      <c r="U7" s="211"/>
      <c r="V7" s="211"/>
      <c r="W7" s="211"/>
      <c r="X7" s="311" t="e">
        <f t="shared" ref="X7:X15" si="1">AVERAGE(N7:W7)</f>
        <v>#DIV/0!</v>
      </c>
      <c r="Y7" s="211"/>
      <c r="Z7" s="211">
        <v>60</v>
      </c>
      <c r="AA7" s="211"/>
      <c r="AB7" s="211">
        <v>100</v>
      </c>
      <c r="AC7" s="211"/>
      <c r="AD7" s="211"/>
      <c r="AE7" s="211"/>
      <c r="AF7" s="211"/>
      <c r="AG7" s="211"/>
      <c r="AH7" s="211"/>
      <c r="AI7" s="311">
        <f t="shared" ref="AI7:AI15" si="2">AVERAGE(Y7:AH7)</f>
        <v>80</v>
      </c>
      <c r="AJ7" s="317" t="e">
        <f t="shared" ref="AJ7:AJ15" si="3">AVERAGE(X7,AI7)</f>
        <v>#DIV/0!</v>
      </c>
      <c r="AK7" s="318">
        <v>90</v>
      </c>
      <c r="AL7" s="319" t="e">
        <f>SUMPRODUCT($AJ$3:$AK$3,AJ7:AK7)</f>
        <v>#DIV/0!</v>
      </c>
      <c r="AM7" s="319" t="e">
        <f t="shared" ref="AM7:AM15" si="4">ROUND(AL7,0)</f>
        <v>#DIV/0!</v>
      </c>
    </row>
    <row r="8" spans="1:39">
      <c r="A8" s="306">
        <v>3</v>
      </c>
      <c r="B8" s="289" t="s">
        <v>44</v>
      </c>
      <c r="C8" s="211"/>
      <c r="D8" s="211"/>
      <c r="E8" s="211"/>
      <c r="F8" s="211"/>
      <c r="G8" s="211"/>
      <c r="H8" s="211"/>
      <c r="I8" s="211"/>
      <c r="J8" s="211"/>
      <c r="K8" s="211"/>
      <c r="L8" s="211"/>
      <c r="M8" s="311" t="e">
        <f t="shared" si="0"/>
        <v>#DIV/0!</v>
      </c>
      <c r="N8" s="211"/>
      <c r="O8" s="211"/>
      <c r="P8" s="211"/>
      <c r="Q8" s="211"/>
      <c r="R8" s="211"/>
      <c r="S8" s="211"/>
      <c r="T8" s="211"/>
      <c r="U8" s="211"/>
      <c r="V8" s="211"/>
      <c r="W8" s="211"/>
      <c r="X8" s="311" t="e">
        <f t="shared" si="1"/>
        <v>#DIV/0!</v>
      </c>
      <c r="Y8" s="211">
        <v>80</v>
      </c>
      <c r="Z8" s="211"/>
      <c r="AA8" s="211"/>
      <c r="AB8" s="211">
        <v>100</v>
      </c>
      <c r="AC8" s="211"/>
      <c r="AD8" s="211"/>
      <c r="AE8" s="211"/>
      <c r="AF8" s="211"/>
      <c r="AG8" s="211"/>
      <c r="AH8" s="211"/>
      <c r="AI8" s="311">
        <f t="shared" si="2"/>
        <v>90</v>
      </c>
      <c r="AJ8" s="317" t="e">
        <f t="shared" si="3"/>
        <v>#DIV/0!</v>
      </c>
      <c r="AK8" s="318"/>
      <c r="AL8" s="319" t="e">
        <f>SUMPRODUCT($AJ$3:$AK$3,AJ8:AK8)</f>
        <v>#DIV/0!</v>
      </c>
      <c r="AM8" s="319" t="e">
        <f t="shared" si="4"/>
        <v>#DIV/0!</v>
      </c>
    </row>
    <row r="9" spans="1:39">
      <c r="A9" s="306">
        <v>4</v>
      </c>
      <c r="B9" s="289" t="s">
        <v>50</v>
      </c>
      <c r="C9" s="211"/>
      <c r="D9" s="211"/>
      <c r="E9" s="211"/>
      <c r="F9" s="211"/>
      <c r="G9" s="211"/>
      <c r="H9" s="211"/>
      <c r="I9" s="211"/>
      <c r="J9" s="211"/>
      <c r="K9" s="211"/>
      <c r="L9" s="211"/>
      <c r="M9" s="311" t="e">
        <f t="shared" si="0"/>
        <v>#DIV/0!</v>
      </c>
      <c r="N9" s="211"/>
      <c r="O9" s="211"/>
      <c r="P9" s="211"/>
      <c r="Q9" s="211"/>
      <c r="R9" s="211"/>
      <c r="S9" s="211"/>
      <c r="T9" s="211"/>
      <c r="U9" s="211"/>
      <c r="V9" s="211"/>
      <c r="W9" s="211"/>
      <c r="X9" s="311" t="e">
        <f t="shared" si="1"/>
        <v>#DIV/0!</v>
      </c>
      <c r="Y9" s="211">
        <v>80</v>
      </c>
      <c r="Z9" s="211"/>
      <c r="AA9" s="211">
        <v>20</v>
      </c>
      <c r="AB9" s="211">
        <v>60</v>
      </c>
      <c r="AC9" s="211"/>
      <c r="AD9" s="211"/>
      <c r="AE9" s="211"/>
      <c r="AF9" s="211"/>
      <c r="AG9" s="211"/>
      <c r="AH9" s="211"/>
      <c r="AI9" s="311">
        <f t="shared" si="2"/>
        <v>53.3333333333333</v>
      </c>
      <c r="AJ9" s="317" t="e">
        <f t="shared" si="3"/>
        <v>#DIV/0!</v>
      </c>
      <c r="AK9" s="318">
        <v>60</v>
      </c>
      <c r="AL9" s="319" t="e">
        <f>SUMPRODUCT($AJ$3:$AK$3,AJ9:AK9)</f>
        <v>#DIV/0!</v>
      </c>
      <c r="AM9" s="319" t="e">
        <f t="shared" si="4"/>
        <v>#DIV/0!</v>
      </c>
    </row>
    <row r="10" spans="1:39">
      <c r="A10" s="306">
        <v>5</v>
      </c>
      <c r="B10" s="289" t="s">
        <v>56</v>
      </c>
      <c r="C10" s="211"/>
      <c r="D10" s="211"/>
      <c r="E10" s="211"/>
      <c r="F10" s="211"/>
      <c r="G10" s="211"/>
      <c r="H10" s="211"/>
      <c r="I10" s="211"/>
      <c r="J10" s="211"/>
      <c r="K10" s="211"/>
      <c r="L10" s="211"/>
      <c r="M10" s="311" t="e">
        <f t="shared" si="0"/>
        <v>#DIV/0!</v>
      </c>
      <c r="N10" s="211"/>
      <c r="O10" s="211"/>
      <c r="P10" s="211"/>
      <c r="Q10" s="211"/>
      <c r="R10" s="211"/>
      <c r="S10" s="211"/>
      <c r="T10" s="211"/>
      <c r="U10" s="211"/>
      <c r="V10" s="211"/>
      <c r="W10" s="211"/>
      <c r="X10" s="311" t="e">
        <f t="shared" si="1"/>
        <v>#DIV/0!</v>
      </c>
      <c r="Y10" s="211">
        <v>80</v>
      </c>
      <c r="Z10" s="211"/>
      <c r="AA10" s="211"/>
      <c r="AB10" s="211">
        <v>100</v>
      </c>
      <c r="AC10" s="211"/>
      <c r="AD10" s="211"/>
      <c r="AE10" s="211"/>
      <c r="AF10" s="211"/>
      <c r="AG10" s="211"/>
      <c r="AH10" s="211"/>
      <c r="AI10" s="311">
        <f t="shared" si="2"/>
        <v>90</v>
      </c>
      <c r="AJ10" s="317" t="e">
        <f t="shared" si="3"/>
        <v>#DIV/0!</v>
      </c>
      <c r="AK10" s="318">
        <v>73</v>
      </c>
      <c r="AL10" s="319" t="e">
        <f>SUMPRODUCT($AJ$3:$AK$3,AJ10:AK10)</f>
        <v>#DIV/0!</v>
      </c>
      <c r="AM10" s="319" t="e">
        <f t="shared" si="4"/>
        <v>#DIV/0!</v>
      </c>
    </row>
    <row r="11" spans="1:39">
      <c r="A11" s="306">
        <v>6</v>
      </c>
      <c r="B11" s="289" t="s">
        <v>63</v>
      </c>
      <c r="C11" s="211"/>
      <c r="D11" s="211"/>
      <c r="E11" s="211"/>
      <c r="F11" s="211"/>
      <c r="G11" s="211"/>
      <c r="H11" s="211"/>
      <c r="I11" s="211"/>
      <c r="J11" s="211"/>
      <c r="K11" s="211"/>
      <c r="L11" s="211"/>
      <c r="M11" s="311" t="e">
        <f t="shared" si="0"/>
        <v>#DIV/0!</v>
      </c>
      <c r="N11" s="211"/>
      <c r="O11" s="211"/>
      <c r="P11" s="211"/>
      <c r="Q11" s="211"/>
      <c r="R11" s="211"/>
      <c r="S11" s="211"/>
      <c r="T11" s="211"/>
      <c r="U11" s="211"/>
      <c r="V11" s="211"/>
      <c r="W11" s="211"/>
      <c r="X11" s="311" t="e">
        <f t="shared" si="1"/>
        <v>#DIV/0!</v>
      </c>
      <c r="Y11" s="211">
        <v>80</v>
      </c>
      <c r="Z11" s="211"/>
      <c r="AA11" s="211"/>
      <c r="AB11" s="211">
        <v>100</v>
      </c>
      <c r="AC11" s="211"/>
      <c r="AD11" s="211"/>
      <c r="AE11" s="211"/>
      <c r="AF11" s="211"/>
      <c r="AG11" s="211"/>
      <c r="AH11" s="211"/>
      <c r="AI11" s="311">
        <f t="shared" si="2"/>
        <v>90</v>
      </c>
      <c r="AJ11" s="317" t="e">
        <f t="shared" si="3"/>
        <v>#DIV/0!</v>
      </c>
      <c r="AK11" s="318">
        <v>100</v>
      </c>
      <c r="AL11" s="319" t="e">
        <f>SUMPRODUCT($AJ$3:$AK$3,AJ11:AK11)</f>
        <v>#DIV/0!</v>
      </c>
      <c r="AM11" s="319" t="e">
        <f t="shared" si="4"/>
        <v>#DIV/0!</v>
      </c>
    </row>
    <row r="12" spans="1:39">
      <c r="A12" s="306">
        <v>7</v>
      </c>
      <c r="B12" s="289" t="s">
        <v>70</v>
      </c>
      <c r="C12" s="211"/>
      <c r="D12" s="211"/>
      <c r="E12" s="211"/>
      <c r="F12" s="211"/>
      <c r="G12" s="211"/>
      <c r="H12" s="211"/>
      <c r="I12" s="211"/>
      <c r="J12" s="211"/>
      <c r="K12" s="211"/>
      <c r="L12" s="211"/>
      <c r="M12" s="311" t="e">
        <f t="shared" si="0"/>
        <v>#DIV/0!</v>
      </c>
      <c r="N12" s="211"/>
      <c r="O12" s="211"/>
      <c r="P12" s="211"/>
      <c r="Q12" s="211"/>
      <c r="R12" s="211"/>
      <c r="S12" s="211"/>
      <c r="T12" s="211"/>
      <c r="U12" s="211"/>
      <c r="V12" s="211"/>
      <c r="W12" s="211"/>
      <c r="X12" s="311" t="e">
        <f t="shared" si="1"/>
        <v>#DIV/0!</v>
      </c>
      <c r="Y12" s="211">
        <v>80</v>
      </c>
      <c r="Z12" s="211"/>
      <c r="AA12" s="211">
        <v>40</v>
      </c>
      <c r="AB12" s="211">
        <v>100</v>
      </c>
      <c r="AC12" s="211"/>
      <c r="AD12" s="211"/>
      <c r="AE12" s="211"/>
      <c r="AF12" s="211"/>
      <c r="AG12" s="211"/>
      <c r="AH12" s="211"/>
      <c r="AI12" s="311">
        <f t="shared" si="2"/>
        <v>73.3333333333333</v>
      </c>
      <c r="AJ12" s="317" t="e">
        <f t="shared" si="3"/>
        <v>#DIV/0!</v>
      </c>
      <c r="AK12" s="318">
        <v>91</v>
      </c>
      <c r="AL12" s="319" t="e">
        <f>SUMPRODUCT($AJ$3:$AK$3,AJ12:AK12)</f>
        <v>#DIV/0!</v>
      </c>
      <c r="AM12" s="319" t="e">
        <f t="shared" si="4"/>
        <v>#DIV/0!</v>
      </c>
    </row>
    <row r="13" spans="1:39">
      <c r="A13" s="306">
        <v>8</v>
      </c>
      <c r="B13" s="289" t="s">
        <v>76</v>
      </c>
      <c r="C13" s="211"/>
      <c r="D13" s="211"/>
      <c r="E13" s="211"/>
      <c r="F13" s="211"/>
      <c r="G13" s="211"/>
      <c r="H13" s="211"/>
      <c r="I13" s="211"/>
      <c r="J13" s="211"/>
      <c r="K13" s="211"/>
      <c r="L13" s="211"/>
      <c r="M13" s="311" t="e">
        <f t="shared" si="0"/>
        <v>#DIV/0!</v>
      </c>
      <c r="N13" s="211"/>
      <c r="O13" s="211"/>
      <c r="P13" s="211"/>
      <c r="Q13" s="211"/>
      <c r="R13" s="211"/>
      <c r="S13" s="211"/>
      <c r="T13" s="211"/>
      <c r="U13" s="211"/>
      <c r="V13" s="211"/>
      <c r="W13" s="211"/>
      <c r="X13" s="311" t="e">
        <f t="shared" si="1"/>
        <v>#DIV/0!</v>
      </c>
      <c r="Y13" s="211">
        <v>100</v>
      </c>
      <c r="Z13" s="211">
        <v>100</v>
      </c>
      <c r="AA13" s="211"/>
      <c r="AB13" s="211">
        <v>100</v>
      </c>
      <c r="AC13" s="211"/>
      <c r="AD13" s="211"/>
      <c r="AE13" s="211"/>
      <c r="AF13" s="211"/>
      <c r="AG13" s="211"/>
      <c r="AH13" s="211"/>
      <c r="AI13" s="311">
        <f t="shared" si="2"/>
        <v>100</v>
      </c>
      <c r="AJ13" s="317" t="e">
        <f t="shared" si="3"/>
        <v>#DIV/0!</v>
      </c>
      <c r="AK13" s="318">
        <v>100</v>
      </c>
      <c r="AL13" s="319" t="e">
        <f>SUMPRODUCT($AJ$3:$AK$3,AJ13:AK13)</f>
        <v>#DIV/0!</v>
      </c>
      <c r="AM13" s="319" t="e">
        <f t="shared" si="4"/>
        <v>#DIV/0!</v>
      </c>
    </row>
    <row r="14" spans="1:39">
      <c r="A14" s="308"/>
      <c r="B14" s="309"/>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row>
    <row r="15" spans="1:39">
      <c r="A15" s="308"/>
      <c r="B15" s="309"/>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row>
  </sheetData>
  <mergeCells count="13">
    <mergeCell ref="AJ2:AK2"/>
    <mergeCell ref="C4:L4"/>
    <mergeCell ref="N4:W4"/>
    <mergeCell ref="Y4:AH4"/>
    <mergeCell ref="A4:A5"/>
    <mergeCell ref="B4:B5"/>
    <mergeCell ref="M4:M5"/>
    <mergeCell ref="X4:X5"/>
    <mergeCell ref="AI4:AI5"/>
    <mergeCell ref="AJ4:AJ5"/>
    <mergeCell ref="AK4:AK5"/>
    <mergeCell ref="AL4:AL5"/>
    <mergeCell ref="AM4:AM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7FC7E"/>
  </sheetPr>
  <dimension ref="A2:AI15"/>
  <sheetViews>
    <sheetView topLeftCell="A2" workbookViewId="0">
      <pane xSplit="2" topLeftCell="F1" activePane="topRight" state="frozen"/>
      <selection/>
      <selection pane="topRight" activeCell="Q12" sqref="Q12"/>
    </sheetView>
  </sheetViews>
  <sheetFormatPr defaultColWidth="9.14285714285714" defaultRowHeight="15"/>
  <cols>
    <col min="1" max="1" width="4" customWidth="1"/>
    <col min="2" max="2" width="44.5714285714286" customWidth="1"/>
    <col min="3" max="12" width="3.71428571428571" customWidth="1"/>
    <col min="13" max="13" width="8.57142857142857" customWidth="1"/>
    <col min="14" max="21" width="3.71428571428571" customWidth="1"/>
    <col min="22" max="22" width="8.57142857142857" customWidth="1"/>
    <col min="23" max="30" width="3.71428571428571" customWidth="1"/>
    <col min="31" max="31" width="8.42857142857143" customWidth="1"/>
    <col min="32" max="32" width="10.2857142857143" customWidth="1"/>
  </cols>
  <sheetData>
    <row r="2" spans="32:33">
      <c r="AF2" s="211" t="s">
        <v>82</v>
      </c>
      <c r="AG2" s="211"/>
    </row>
    <row r="3" spans="32:33">
      <c r="AF3" s="312">
        <v>0.9</v>
      </c>
      <c r="AG3" s="312">
        <v>0.1</v>
      </c>
    </row>
    <row r="4" spans="1:35">
      <c r="A4" s="211" t="s">
        <v>83</v>
      </c>
      <c r="B4" s="211" t="s">
        <v>84</v>
      </c>
      <c r="C4" s="211" t="s">
        <v>85</v>
      </c>
      <c r="D4" s="211"/>
      <c r="E4" s="211"/>
      <c r="F4" s="211"/>
      <c r="G4" s="211"/>
      <c r="H4" s="211"/>
      <c r="I4" s="211"/>
      <c r="J4" s="211"/>
      <c r="K4" s="211"/>
      <c r="L4" s="211"/>
      <c r="M4" s="310" t="s">
        <v>86</v>
      </c>
      <c r="N4" s="211" t="s">
        <v>89</v>
      </c>
      <c r="O4" s="211"/>
      <c r="P4" s="211"/>
      <c r="Q4" s="211"/>
      <c r="R4" s="211"/>
      <c r="S4" s="211"/>
      <c r="T4" s="211"/>
      <c r="U4" s="211"/>
      <c r="V4" s="310" t="s">
        <v>88</v>
      </c>
      <c r="W4" s="211" t="s">
        <v>95</v>
      </c>
      <c r="X4" s="211"/>
      <c r="Y4" s="211"/>
      <c r="Z4" s="211"/>
      <c r="AA4" s="211"/>
      <c r="AB4" s="211"/>
      <c r="AC4" s="211"/>
      <c r="AD4" s="211"/>
      <c r="AE4" s="310" t="s">
        <v>90</v>
      </c>
      <c r="AF4" s="313" t="s">
        <v>91</v>
      </c>
      <c r="AG4" s="314" t="s">
        <v>92</v>
      </c>
      <c r="AH4" s="315" t="s">
        <v>93</v>
      </c>
      <c r="AI4" s="322" t="s">
        <v>94</v>
      </c>
    </row>
    <row r="5" spans="1:35">
      <c r="A5" s="306"/>
      <c r="B5" s="306"/>
      <c r="C5" s="307">
        <v>1</v>
      </c>
      <c r="D5" s="307">
        <v>2</v>
      </c>
      <c r="E5" s="307">
        <v>3</v>
      </c>
      <c r="F5" s="307">
        <v>4</v>
      </c>
      <c r="G5" s="307">
        <v>5</v>
      </c>
      <c r="H5" s="307">
        <v>6</v>
      </c>
      <c r="I5" s="307">
        <v>7</v>
      </c>
      <c r="J5" s="307">
        <v>8</v>
      </c>
      <c r="K5" s="307">
        <v>9</v>
      </c>
      <c r="L5" s="307">
        <v>10</v>
      </c>
      <c r="M5" s="310"/>
      <c r="N5" s="307">
        <v>1</v>
      </c>
      <c r="O5" s="307">
        <v>2</v>
      </c>
      <c r="P5" s="307">
        <v>3</v>
      </c>
      <c r="Q5" s="307">
        <v>4</v>
      </c>
      <c r="R5" s="307">
        <v>5</v>
      </c>
      <c r="S5" s="307">
        <v>6</v>
      </c>
      <c r="T5" s="307">
        <v>7</v>
      </c>
      <c r="U5" s="307">
        <v>8</v>
      </c>
      <c r="V5" s="310"/>
      <c r="W5" s="307">
        <v>1</v>
      </c>
      <c r="X5" s="307">
        <v>2</v>
      </c>
      <c r="Y5" s="307">
        <v>3</v>
      </c>
      <c r="Z5" s="307">
        <v>4</v>
      </c>
      <c r="AA5" s="307">
        <v>5</v>
      </c>
      <c r="AB5" s="307">
        <v>6</v>
      </c>
      <c r="AC5" s="307">
        <v>7</v>
      </c>
      <c r="AD5" s="307">
        <v>8</v>
      </c>
      <c r="AE5" s="310"/>
      <c r="AF5" s="313"/>
      <c r="AG5" s="314"/>
      <c r="AH5" s="315"/>
      <c r="AI5" s="323"/>
    </row>
    <row r="6" spans="1:35">
      <c r="A6" s="306">
        <v>1</v>
      </c>
      <c r="B6" s="289" t="s">
        <v>25</v>
      </c>
      <c r="C6" s="211"/>
      <c r="D6" s="211"/>
      <c r="E6" s="211"/>
      <c r="F6" s="211"/>
      <c r="G6" s="211"/>
      <c r="H6" s="211"/>
      <c r="I6" s="211"/>
      <c r="J6" s="211"/>
      <c r="K6" s="211"/>
      <c r="L6" s="211"/>
      <c r="M6" s="311" t="e">
        <f t="shared" ref="M6:M15" si="0">AVERAGE(C6:L6)</f>
        <v>#DIV/0!</v>
      </c>
      <c r="N6" s="211"/>
      <c r="O6" s="211">
        <v>100</v>
      </c>
      <c r="P6" s="211">
        <v>100</v>
      </c>
      <c r="Q6" s="211">
        <v>100</v>
      </c>
      <c r="R6" s="211">
        <v>100</v>
      </c>
      <c r="S6" s="211">
        <v>90</v>
      </c>
      <c r="T6" s="211">
        <v>100</v>
      </c>
      <c r="U6" s="211"/>
      <c r="V6" s="321">
        <f t="shared" ref="V6:V15" si="1">AVERAGE(N6:U6)</f>
        <v>98.3333333333333</v>
      </c>
      <c r="W6" s="211"/>
      <c r="X6" s="211"/>
      <c r="Y6" s="211"/>
      <c r="Z6" s="211"/>
      <c r="AA6" s="211"/>
      <c r="AB6" s="211"/>
      <c r="AC6" s="211"/>
      <c r="AD6" s="211"/>
      <c r="AE6" s="321" t="e">
        <f>AVERAGE(W6:AD6)</f>
        <v>#DIV/0!</v>
      </c>
      <c r="AF6" s="324" t="e">
        <f>AVERAGE(V6,AE6)</f>
        <v>#DIV/0!</v>
      </c>
      <c r="AG6" s="318">
        <v>72</v>
      </c>
      <c r="AH6" s="325" t="e">
        <f>SUMPRODUCT($AF$3:$AG$3,AF6:AG6)</f>
        <v>#DIV/0!</v>
      </c>
      <c r="AI6" s="319" t="e">
        <f>ROUND(AH6,0)</f>
        <v>#DIV/0!</v>
      </c>
    </row>
    <row r="7" spans="1:35">
      <c r="A7" s="306">
        <v>2</v>
      </c>
      <c r="B7" s="289" t="s">
        <v>36</v>
      </c>
      <c r="C7" s="211"/>
      <c r="D7" s="211"/>
      <c r="E7" s="211"/>
      <c r="F7" s="211"/>
      <c r="G7" s="211"/>
      <c r="H7" s="211"/>
      <c r="I7" s="211"/>
      <c r="J7" s="211"/>
      <c r="K7" s="211"/>
      <c r="L7" s="211"/>
      <c r="M7" s="311" t="e">
        <f t="shared" si="0"/>
        <v>#DIV/0!</v>
      </c>
      <c r="N7" s="211">
        <v>100</v>
      </c>
      <c r="O7" s="211">
        <v>100</v>
      </c>
      <c r="P7" s="211">
        <v>100</v>
      </c>
      <c r="Q7" s="211"/>
      <c r="R7" s="211">
        <v>95</v>
      </c>
      <c r="S7" s="211">
        <v>100</v>
      </c>
      <c r="T7" s="211">
        <v>100</v>
      </c>
      <c r="U7" s="211"/>
      <c r="V7" s="321">
        <f t="shared" si="1"/>
        <v>99.1666666666667</v>
      </c>
      <c r="W7" s="211"/>
      <c r="X7" s="211"/>
      <c r="Y7" s="211"/>
      <c r="Z7" s="211"/>
      <c r="AA7" s="211"/>
      <c r="AB7" s="211"/>
      <c r="AC7" s="211"/>
      <c r="AD7" s="211"/>
      <c r="AE7" s="321" t="e">
        <f t="shared" ref="AE7:AE15" si="2">AVERAGE(W7:AD7)</f>
        <v>#DIV/0!</v>
      </c>
      <c r="AF7" s="324" t="e">
        <f t="shared" ref="AF7:AF15" si="3">AVERAGE(V7,AE7)</f>
        <v>#DIV/0!</v>
      </c>
      <c r="AG7" s="318">
        <v>79</v>
      </c>
      <c r="AH7" s="325" t="e">
        <f t="shared" ref="AH7:AH15" si="4">SUMPRODUCT($AF$3:$AG$3,AF7:AG7)</f>
        <v>#DIV/0!</v>
      </c>
      <c r="AI7" s="319" t="e">
        <f t="shared" ref="AI7:AI15" si="5">ROUND(AH7,0)</f>
        <v>#DIV/0!</v>
      </c>
    </row>
    <row r="8" spans="1:35">
      <c r="A8" s="306">
        <v>3</v>
      </c>
      <c r="B8" s="289" t="s">
        <v>44</v>
      </c>
      <c r="C8" s="211"/>
      <c r="D8" s="211"/>
      <c r="E8" s="211"/>
      <c r="F8" s="211"/>
      <c r="G8" s="211"/>
      <c r="H8" s="211"/>
      <c r="I8" s="211"/>
      <c r="J8" s="211"/>
      <c r="K8" s="211"/>
      <c r="L8" s="211"/>
      <c r="M8" s="311" t="e">
        <f t="shared" si="0"/>
        <v>#DIV/0!</v>
      </c>
      <c r="N8" s="211"/>
      <c r="O8" s="211">
        <v>100</v>
      </c>
      <c r="P8" s="211">
        <v>100</v>
      </c>
      <c r="Q8" s="211"/>
      <c r="R8" s="211"/>
      <c r="S8" s="291"/>
      <c r="T8" s="211"/>
      <c r="U8" s="211"/>
      <c r="V8" s="321">
        <f t="shared" si="1"/>
        <v>100</v>
      </c>
      <c r="W8" s="211"/>
      <c r="X8" s="211"/>
      <c r="Y8" s="211"/>
      <c r="Z8" s="211"/>
      <c r="AA8" s="211"/>
      <c r="AB8" s="211"/>
      <c r="AC8" s="211"/>
      <c r="AD8" s="211"/>
      <c r="AE8" s="321" t="e">
        <f t="shared" si="2"/>
        <v>#DIV/0!</v>
      </c>
      <c r="AF8" s="324" t="e">
        <f t="shared" si="3"/>
        <v>#DIV/0!</v>
      </c>
      <c r="AG8" s="318"/>
      <c r="AH8" s="325" t="e">
        <f t="shared" si="4"/>
        <v>#DIV/0!</v>
      </c>
      <c r="AI8" s="319" t="e">
        <f t="shared" si="5"/>
        <v>#DIV/0!</v>
      </c>
    </row>
    <row r="9" spans="1:35">
      <c r="A9" s="306">
        <v>4</v>
      </c>
      <c r="B9" s="289" t="s">
        <v>50</v>
      </c>
      <c r="C9" s="211"/>
      <c r="D9" s="211"/>
      <c r="E9" s="211"/>
      <c r="F9" s="211"/>
      <c r="G9" s="211"/>
      <c r="H9" s="211"/>
      <c r="I9" s="211"/>
      <c r="J9" s="211"/>
      <c r="K9" s="211"/>
      <c r="L9" s="211"/>
      <c r="M9" s="311" t="e">
        <f t="shared" si="0"/>
        <v>#DIV/0!</v>
      </c>
      <c r="N9" s="211">
        <v>50</v>
      </c>
      <c r="O9" s="211">
        <v>100</v>
      </c>
      <c r="P9" s="211">
        <v>100</v>
      </c>
      <c r="Q9" s="211"/>
      <c r="R9" s="211">
        <v>100</v>
      </c>
      <c r="S9" s="211">
        <v>100</v>
      </c>
      <c r="T9" s="211">
        <v>40</v>
      </c>
      <c r="U9" s="211"/>
      <c r="V9" s="321">
        <f t="shared" si="1"/>
        <v>81.6666666666667</v>
      </c>
      <c r="W9" s="211"/>
      <c r="X9" s="211"/>
      <c r="Y9" s="211"/>
      <c r="Z9" s="211"/>
      <c r="AA9" s="211"/>
      <c r="AB9" s="211"/>
      <c r="AC9" s="211"/>
      <c r="AD9" s="211"/>
      <c r="AE9" s="321" t="e">
        <f t="shared" si="2"/>
        <v>#DIV/0!</v>
      </c>
      <c r="AF9" s="324" t="e">
        <f t="shared" si="3"/>
        <v>#DIV/0!</v>
      </c>
      <c r="AG9" s="318">
        <v>41</v>
      </c>
      <c r="AH9" s="325" t="e">
        <f t="shared" si="4"/>
        <v>#DIV/0!</v>
      </c>
      <c r="AI9" s="319" t="e">
        <f t="shared" si="5"/>
        <v>#DIV/0!</v>
      </c>
    </row>
    <row r="10" spans="1:35">
      <c r="A10" s="306">
        <v>5</v>
      </c>
      <c r="B10" s="289" t="s">
        <v>56</v>
      </c>
      <c r="C10" s="211"/>
      <c r="D10" s="211"/>
      <c r="E10" s="211"/>
      <c r="F10" s="211"/>
      <c r="G10" s="211"/>
      <c r="H10" s="211"/>
      <c r="I10" s="211"/>
      <c r="J10" s="211"/>
      <c r="K10" s="211"/>
      <c r="L10" s="211"/>
      <c r="M10" s="311" t="e">
        <f t="shared" si="0"/>
        <v>#DIV/0!</v>
      </c>
      <c r="N10" s="211">
        <v>90</v>
      </c>
      <c r="O10" s="211">
        <v>100</v>
      </c>
      <c r="P10" s="211">
        <v>100</v>
      </c>
      <c r="Q10" s="211">
        <v>100</v>
      </c>
      <c r="R10" s="211">
        <v>60</v>
      </c>
      <c r="S10" s="211">
        <v>85</v>
      </c>
      <c r="T10" s="211">
        <v>100</v>
      </c>
      <c r="U10" s="211"/>
      <c r="V10" s="321">
        <f t="shared" si="1"/>
        <v>90.7142857142857</v>
      </c>
      <c r="W10" s="211"/>
      <c r="X10" s="211"/>
      <c r="Y10" s="211"/>
      <c r="Z10" s="211"/>
      <c r="AA10" s="211"/>
      <c r="AB10" s="211"/>
      <c r="AC10" s="211"/>
      <c r="AD10" s="211"/>
      <c r="AE10" s="321" t="e">
        <f t="shared" si="2"/>
        <v>#DIV/0!</v>
      </c>
      <c r="AF10" s="324" t="e">
        <f t="shared" si="3"/>
        <v>#DIV/0!</v>
      </c>
      <c r="AG10" s="318">
        <v>75</v>
      </c>
      <c r="AH10" s="325" t="e">
        <f t="shared" si="4"/>
        <v>#DIV/0!</v>
      </c>
      <c r="AI10" s="319" t="e">
        <f t="shared" si="5"/>
        <v>#DIV/0!</v>
      </c>
    </row>
    <row r="11" spans="1:35">
      <c r="A11" s="306">
        <v>6</v>
      </c>
      <c r="B11" s="289" t="s">
        <v>63</v>
      </c>
      <c r="C11" s="211"/>
      <c r="D11" s="211"/>
      <c r="E11" s="211"/>
      <c r="F11" s="211"/>
      <c r="G11" s="211"/>
      <c r="H11" s="211"/>
      <c r="I11" s="211"/>
      <c r="J11" s="211"/>
      <c r="K11" s="211"/>
      <c r="L11" s="211"/>
      <c r="M11" s="311" t="e">
        <f t="shared" si="0"/>
        <v>#DIV/0!</v>
      </c>
      <c r="N11" s="211">
        <v>100</v>
      </c>
      <c r="O11" s="211">
        <v>100</v>
      </c>
      <c r="P11" s="211">
        <v>100</v>
      </c>
      <c r="Q11" s="211">
        <v>100</v>
      </c>
      <c r="R11" s="211">
        <v>100</v>
      </c>
      <c r="S11" s="211">
        <v>85</v>
      </c>
      <c r="T11" s="211">
        <v>100</v>
      </c>
      <c r="U11" s="211"/>
      <c r="V11" s="321">
        <f t="shared" si="1"/>
        <v>97.8571428571429</v>
      </c>
      <c r="W11" s="211"/>
      <c r="X11" s="211"/>
      <c r="Y11" s="211"/>
      <c r="Z11" s="211"/>
      <c r="AA11" s="211"/>
      <c r="AB11" s="211"/>
      <c r="AC11" s="211"/>
      <c r="AD11" s="211"/>
      <c r="AE11" s="321" t="e">
        <f t="shared" si="2"/>
        <v>#DIV/0!</v>
      </c>
      <c r="AF11" s="324" t="e">
        <f t="shared" si="3"/>
        <v>#DIV/0!</v>
      </c>
      <c r="AG11" s="318">
        <v>91</v>
      </c>
      <c r="AH11" s="325" t="e">
        <f t="shared" si="4"/>
        <v>#DIV/0!</v>
      </c>
      <c r="AI11" s="319" t="e">
        <f t="shared" si="5"/>
        <v>#DIV/0!</v>
      </c>
    </row>
    <row r="12" spans="1:35">
      <c r="A12" s="306">
        <v>7</v>
      </c>
      <c r="B12" s="289" t="s">
        <v>70</v>
      </c>
      <c r="C12" s="211"/>
      <c r="D12" s="211"/>
      <c r="E12" s="211"/>
      <c r="F12" s="211"/>
      <c r="G12" s="211"/>
      <c r="H12" s="211"/>
      <c r="I12" s="211"/>
      <c r="J12" s="211"/>
      <c r="K12" s="211"/>
      <c r="L12" s="211"/>
      <c r="M12" s="311" t="e">
        <f t="shared" si="0"/>
        <v>#DIV/0!</v>
      </c>
      <c r="N12" s="211">
        <v>90</v>
      </c>
      <c r="O12" s="211">
        <v>100</v>
      </c>
      <c r="P12" s="211">
        <v>100</v>
      </c>
      <c r="Q12" s="211"/>
      <c r="R12" s="211">
        <v>95</v>
      </c>
      <c r="S12" s="211">
        <v>80</v>
      </c>
      <c r="T12" s="211">
        <v>100</v>
      </c>
      <c r="U12" s="211"/>
      <c r="V12" s="321">
        <f t="shared" si="1"/>
        <v>94.1666666666667</v>
      </c>
      <c r="W12" s="211"/>
      <c r="X12" s="211"/>
      <c r="Y12" s="211"/>
      <c r="Z12" s="211"/>
      <c r="AA12" s="211"/>
      <c r="AB12" s="211"/>
      <c r="AC12" s="211"/>
      <c r="AD12" s="211"/>
      <c r="AE12" s="321" t="e">
        <f t="shared" si="2"/>
        <v>#DIV/0!</v>
      </c>
      <c r="AF12" s="324" t="e">
        <f t="shared" si="3"/>
        <v>#DIV/0!</v>
      </c>
      <c r="AG12" s="318">
        <v>95</v>
      </c>
      <c r="AH12" s="325" t="e">
        <f t="shared" si="4"/>
        <v>#DIV/0!</v>
      </c>
      <c r="AI12" s="319" t="e">
        <f t="shared" si="5"/>
        <v>#DIV/0!</v>
      </c>
    </row>
    <row r="13" spans="1:35">
      <c r="A13" s="306">
        <v>8</v>
      </c>
      <c r="B13" s="289" t="s">
        <v>76</v>
      </c>
      <c r="C13" s="211"/>
      <c r="D13" s="211"/>
      <c r="E13" s="211"/>
      <c r="F13" s="211"/>
      <c r="G13" s="211"/>
      <c r="H13" s="211"/>
      <c r="I13" s="211"/>
      <c r="J13" s="211"/>
      <c r="K13" s="211"/>
      <c r="L13" s="211"/>
      <c r="M13" s="311" t="e">
        <f t="shared" si="0"/>
        <v>#DIV/0!</v>
      </c>
      <c r="N13" s="211">
        <v>100</v>
      </c>
      <c r="O13" s="211">
        <v>100</v>
      </c>
      <c r="P13" s="211">
        <v>100</v>
      </c>
      <c r="Q13" s="211"/>
      <c r="R13" s="211"/>
      <c r="S13" s="211"/>
      <c r="T13" s="211"/>
      <c r="U13" s="211"/>
      <c r="V13" s="321">
        <f t="shared" si="1"/>
        <v>100</v>
      </c>
      <c r="W13" s="211"/>
      <c r="X13" s="211"/>
      <c r="Y13" s="211"/>
      <c r="Z13" s="211"/>
      <c r="AA13" s="211"/>
      <c r="AB13" s="211"/>
      <c r="AC13" s="211"/>
      <c r="AD13" s="211"/>
      <c r="AE13" s="321" t="e">
        <f t="shared" si="2"/>
        <v>#DIV/0!</v>
      </c>
      <c r="AF13" s="324" t="e">
        <f t="shared" si="3"/>
        <v>#DIV/0!</v>
      </c>
      <c r="AG13" s="318">
        <v>94</v>
      </c>
      <c r="AH13" s="325" t="e">
        <f t="shared" si="4"/>
        <v>#DIV/0!</v>
      </c>
      <c r="AI13" s="319" t="e">
        <f t="shared" si="5"/>
        <v>#DIV/0!</v>
      </c>
    </row>
    <row r="14" spans="1:35">
      <c r="A14" s="308"/>
      <c r="B14" s="309"/>
      <c r="C14" s="293"/>
      <c r="D14" s="293"/>
      <c r="E14" s="293"/>
      <c r="F14" s="293"/>
      <c r="G14" s="293"/>
      <c r="H14" s="293"/>
      <c r="I14" s="293"/>
      <c r="J14" s="293"/>
      <c r="K14" s="293"/>
      <c r="L14" s="293"/>
      <c r="M14" s="293"/>
      <c r="N14" s="293"/>
      <c r="O14" s="293"/>
      <c r="P14" s="293"/>
      <c r="Q14" s="293"/>
      <c r="R14" s="293"/>
      <c r="S14" s="293"/>
      <c r="T14" s="293"/>
      <c r="U14" s="293"/>
      <c r="V14" s="295"/>
      <c r="W14" s="293"/>
      <c r="X14" s="293"/>
      <c r="Y14" s="293"/>
      <c r="Z14" s="293"/>
      <c r="AA14" s="293"/>
      <c r="AB14" s="293"/>
      <c r="AC14" s="293"/>
      <c r="AD14" s="293"/>
      <c r="AE14" s="295"/>
      <c r="AF14" s="295"/>
      <c r="AG14" s="293"/>
      <c r="AH14" s="326"/>
      <c r="AI14" s="293"/>
    </row>
    <row r="15" spans="1:35">
      <c r="A15" s="308"/>
      <c r="B15" s="309"/>
      <c r="C15" s="293"/>
      <c r="D15" s="293"/>
      <c r="E15" s="293"/>
      <c r="F15" s="293"/>
      <c r="G15" s="293"/>
      <c r="H15" s="293"/>
      <c r="I15" s="293"/>
      <c r="J15" s="293"/>
      <c r="K15" s="293"/>
      <c r="L15" s="293"/>
      <c r="M15" s="293"/>
      <c r="N15" s="293"/>
      <c r="O15" s="293"/>
      <c r="P15" s="293"/>
      <c r="Q15" s="293"/>
      <c r="R15" s="293"/>
      <c r="S15" s="293"/>
      <c r="T15" s="293"/>
      <c r="U15" s="293"/>
      <c r="V15" s="295"/>
      <c r="W15" s="293"/>
      <c r="X15" s="293"/>
      <c r="Y15" s="293"/>
      <c r="Z15" s="293"/>
      <c r="AA15" s="293"/>
      <c r="AB15" s="293"/>
      <c r="AC15" s="293"/>
      <c r="AD15" s="293"/>
      <c r="AE15" s="295"/>
      <c r="AF15" s="295"/>
      <c r="AG15" s="293"/>
      <c r="AH15" s="326"/>
      <c r="AI15" s="293"/>
    </row>
  </sheetData>
  <mergeCells count="13">
    <mergeCell ref="AF2:AG2"/>
    <mergeCell ref="C4:L4"/>
    <mergeCell ref="N4:U4"/>
    <mergeCell ref="W4:AD4"/>
    <mergeCell ref="A4:A5"/>
    <mergeCell ref="B4:B5"/>
    <mergeCell ref="M4:M5"/>
    <mergeCell ref="V4:V5"/>
    <mergeCell ref="AE4:AE5"/>
    <mergeCell ref="AF4:AF5"/>
    <mergeCell ref="AG4:AG5"/>
    <mergeCell ref="AH4:AH5"/>
    <mergeCell ref="AI4:AI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A85F3"/>
  </sheetPr>
  <dimension ref="A2:AJ15"/>
  <sheetViews>
    <sheetView workbookViewId="0">
      <pane xSplit="2" topLeftCell="T1" activePane="topRight" state="frozen"/>
      <selection/>
      <selection pane="topRight" activeCell="AD17" sqref="AD17"/>
    </sheetView>
  </sheetViews>
  <sheetFormatPr defaultColWidth="9.14285714285714" defaultRowHeight="15"/>
  <cols>
    <col min="1" max="1" width="4" customWidth="1"/>
    <col min="2" max="2" width="44.5714285714286" customWidth="1"/>
    <col min="3" max="12" width="3.71428571428571" customWidth="1"/>
    <col min="13" max="13" width="8.57142857142857" customWidth="1"/>
    <col min="14" max="22" width="3.71428571428571" customWidth="1"/>
    <col min="23" max="23" width="8.57142857142857" customWidth="1"/>
    <col min="24" max="31" width="3.71428571428571" customWidth="1"/>
    <col min="32" max="32" width="8.42857142857143" customWidth="1"/>
    <col min="33" max="33" width="10.2857142857143" customWidth="1"/>
  </cols>
  <sheetData>
    <row r="2" spans="33:34">
      <c r="AG2" s="211" t="s">
        <v>82</v>
      </c>
      <c r="AH2" s="211"/>
    </row>
    <row r="3" spans="33:34">
      <c r="AG3" s="312">
        <v>0.9</v>
      </c>
      <c r="AH3" s="312">
        <v>0.1</v>
      </c>
    </row>
    <row r="4" spans="1:36">
      <c r="A4" s="211" t="s">
        <v>83</v>
      </c>
      <c r="B4" s="211" t="s">
        <v>84</v>
      </c>
      <c r="C4" s="320" t="s">
        <v>87</v>
      </c>
      <c r="D4" s="320"/>
      <c r="E4" s="320"/>
      <c r="F4" s="320"/>
      <c r="G4" s="320"/>
      <c r="H4" s="320"/>
      <c r="I4" s="320"/>
      <c r="J4" s="320"/>
      <c r="K4" s="320"/>
      <c r="L4" s="320"/>
      <c r="M4" s="310" t="s">
        <v>88</v>
      </c>
      <c r="N4" s="320" t="s">
        <v>89</v>
      </c>
      <c r="O4" s="320"/>
      <c r="P4" s="320"/>
      <c r="Q4" s="320"/>
      <c r="R4" s="320"/>
      <c r="S4" s="320"/>
      <c r="T4" s="320"/>
      <c r="U4" s="320"/>
      <c r="V4" s="320"/>
      <c r="W4" s="310" t="s">
        <v>90</v>
      </c>
      <c r="X4" s="320" t="s">
        <v>95</v>
      </c>
      <c r="Y4" s="320"/>
      <c r="Z4" s="320"/>
      <c r="AA4" s="320"/>
      <c r="AB4" s="320"/>
      <c r="AC4" s="320"/>
      <c r="AD4" s="320"/>
      <c r="AE4" s="320"/>
      <c r="AF4" s="310" t="s">
        <v>96</v>
      </c>
      <c r="AG4" s="313" t="s">
        <v>91</v>
      </c>
      <c r="AH4" s="314" t="s">
        <v>92</v>
      </c>
      <c r="AI4" s="315" t="s">
        <v>93</v>
      </c>
      <c r="AJ4" s="322" t="s">
        <v>94</v>
      </c>
    </row>
    <row r="5" spans="1:36">
      <c r="A5" s="306"/>
      <c r="B5" s="306"/>
      <c r="C5" s="307">
        <v>1</v>
      </c>
      <c r="D5" s="307">
        <v>2</v>
      </c>
      <c r="E5" s="307">
        <v>3</v>
      </c>
      <c r="F5" s="307">
        <v>4</v>
      </c>
      <c r="G5" s="307">
        <v>5</v>
      </c>
      <c r="H5" s="307">
        <v>6</v>
      </c>
      <c r="I5" s="307">
        <v>7</v>
      </c>
      <c r="J5" s="307">
        <v>8</v>
      </c>
      <c r="K5" s="307">
        <v>9</v>
      </c>
      <c r="L5" s="307">
        <v>10</v>
      </c>
      <c r="M5" s="310"/>
      <c r="N5" s="307">
        <v>1</v>
      </c>
      <c r="O5" s="307">
        <v>2</v>
      </c>
      <c r="P5" s="307">
        <v>3</v>
      </c>
      <c r="Q5" s="307">
        <v>4</v>
      </c>
      <c r="R5" s="307">
        <v>5</v>
      </c>
      <c r="S5" s="307">
        <v>6</v>
      </c>
      <c r="T5" s="307">
        <v>7</v>
      </c>
      <c r="U5" s="307">
        <v>8</v>
      </c>
      <c r="V5" s="307">
        <v>9</v>
      </c>
      <c r="W5" s="310"/>
      <c r="X5" s="307">
        <v>1</v>
      </c>
      <c r="Y5" s="307">
        <v>2</v>
      </c>
      <c r="Z5" s="307">
        <v>3</v>
      </c>
      <c r="AA5" s="307">
        <v>4</v>
      </c>
      <c r="AB5" s="307">
        <v>5</v>
      </c>
      <c r="AC5" s="307">
        <v>6</v>
      </c>
      <c r="AD5" s="307">
        <v>7</v>
      </c>
      <c r="AE5" s="307">
        <v>8</v>
      </c>
      <c r="AF5" s="310"/>
      <c r="AG5" s="313"/>
      <c r="AH5" s="314"/>
      <c r="AI5" s="315"/>
      <c r="AJ5" s="323"/>
    </row>
    <row r="6" spans="1:36">
      <c r="A6" s="306">
        <v>1</v>
      </c>
      <c r="B6" s="289" t="s">
        <v>25</v>
      </c>
      <c r="C6" s="211"/>
      <c r="D6" s="211"/>
      <c r="E6" s="211"/>
      <c r="F6" s="211"/>
      <c r="G6" s="211"/>
      <c r="H6" s="211"/>
      <c r="I6" s="211"/>
      <c r="J6" s="211"/>
      <c r="K6" s="211"/>
      <c r="L6" s="211"/>
      <c r="M6" s="311" t="e">
        <f>AVERAGE(C6:L6)</f>
        <v>#DIV/0!</v>
      </c>
      <c r="N6">
        <v>100</v>
      </c>
      <c r="O6" s="211">
        <v>98</v>
      </c>
      <c r="P6" s="211">
        <v>80</v>
      </c>
      <c r="Q6" s="211">
        <v>95</v>
      </c>
      <c r="R6" s="211">
        <v>100</v>
      </c>
      <c r="S6" s="211">
        <v>100</v>
      </c>
      <c r="T6" s="211"/>
      <c r="U6" s="211"/>
      <c r="V6" s="211"/>
      <c r="W6" s="321">
        <f>AVERAGE(O6:V6)</f>
        <v>94.6</v>
      </c>
      <c r="X6" s="211">
        <v>90</v>
      </c>
      <c r="Y6" s="211">
        <v>100</v>
      </c>
      <c r="Z6" s="211">
        <v>100</v>
      </c>
      <c r="AA6" s="211"/>
      <c r="AB6" s="211"/>
      <c r="AC6" s="211"/>
      <c r="AD6" s="211"/>
      <c r="AE6" s="211"/>
      <c r="AF6" s="321">
        <f t="shared" ref="AF6:AF15" si="0">AVERAGE(X6:AE6)</f>
        <v>96.6666666666667</v>
      </c>
      <c r="AG6" s="324">
        <f>AVERAGE(W6,AF6)</f>
        <v>95.6333333333333</v>
      </c>
      <c r="AH6" s="318">
        <v>92</v>
      </c>
      <c r="AI6" s="325">
        <f>SUMPRODUCT($AG$3:$AH$3,AG6:AH6)</f>
        <v>95.27</v>
      </c>
      <c r="AJ6" s="319">
        <f>ROUND(AI6,0)</f>
        <v>95</v>
      </c>
    </row>
    <row r="7" spans="1:36">
      <c r="A7" s="306">
        <v>2</v>
      </c>
      <c r="B7" s="289" t="s">
        <v>36</v>
      </c>
      <c r="C7" s="211"/>
      <c r="D7" s="211"/>
      <c r="E7" s="211"/>
      <c r="F7" s="211"/>
      <c r="G7" s="211"/>
      <c r="H7" s="211"/>
      <c r="I7" s="211"/>
      <c r="J7" s="211"/>
      <c r="K7" s="211"/>
      <c r="L7" s="211"/>
      <c r="M7" s="311" t="e">
        <f t="shared" ref="M6:M15" si="1">AVERAGE(C7:L7)</f>
        <v>#DIV/0!</v>
      </c>
      <c r="N7" s="211">
        <v>100</v>
      </c>
      <c r="O7" s="211">
        <v>100</v>
      </c>
      <c r="P7" s="211">
        <v>100</v>
      </c>
      <c r="Q7" s="211">
        <v>100</v>
      </c>
      <c r="R7" s="211">
        <v>100</v>
      </c>
      <c r="S7" s="211">
        <v>100</v>
      </c>
      <c r="T7" s="211"/>
      <c r="U7" s="211"/>
      <c r="V7" s="211"/>
      <c r="W7" s="321">
        <f t="shared" ref="W6:W15" si="2">AVERAGE(N7:V7)</f>
        <v>100</v>
      </c>
      <c r="X7" s="211">
        <v>85</v>
      </c>
      <c r="Y7" s="211">
        <v>100</v>
      </c>
      <c r="Z7" s="211">
        <v>90</v>
      </c>
      <c r="AA7" s="211"/>
      <c r="AB7" s="211"/>
      <c r="AC7" s="211"/>
      <c r="AD7" s="211"/>
      <c r="AE7" s="211"/>
      <c r="AF7" s="321">
        <f t="shared" si="0"/>
        <v>91.6666666666667</v>
      </c>
      <c r="AG7" s="324">
        <f t="shared" ref="AG7:AG15" si="3">AVERAGE(W7,AF7)</f>
        <v>95.8333333333333</v>
      </c>
      <c r="AH7" s="318">
        <v>93</v>
      </c>
      <c r="AI7" s="325">
        <f t="shared" ref="AI7:AI15" si="4">SUMPRODUCT($AG$3:$AH$3,AG7:AH7)</f>
        <v>95.55</v>
      </c>
      <c r="AJ7" s="319">
        <f t="shared" ref="AJ7:AJ15" si="5">ROUND(AI7,0)</f>
        <v>96</v>
      </c>
    </row>
    <row r="8" spans="1:36">
      <c r="A8" s="306">
        <v>3</v>
      </c>
      <c r="B8" s="289" t="s">
        <v>44</v>
      </c>
      <c r="C8" s="211"/>
      <c r="D8" s="211"/>
      <c r="E8" s="306"/>
      <c r="F8" s="306"/>
      <c r="G8" s="306"/>
      <c r="H8" s="211"/>
      <c r="I8" s="211"/>
      <c r="J8" s="211"/>
      <c r="K8" s="211"/>
      <c r="L8" s="211"/>
      <c r="M8" s="311" t="e">
        <f t="shared" si="1"/>
        <v>#DIV/0!</v>
      </c>
      <c r="N8" s="211">
        <v>0</v>
      </c>
      <c r="O8" s="211">
        <v>54</v>
      </c>
      <c r="P8" s="211">
        <v>80</v>
      </c>
      <c r="Q8" s="211">
        <v>50</v>
      </c>
      <c r="R8" s="211">
        <v>50</v>
      </c>
      <c r="S8" s="211">
        <v>50</v>
      </c>
      <c r="T8" s="211"/>
      <c r="U8" s="211"/>
      <c r="V8" s="211"/>
      <c r="W8" s="321">
        <f t="shared" si="2"/>
        <v>47.3333333333333</v>
      </c>
      <c r="X8" s="211">
        <v>0</v>
      </c>
      <c r="Y8" s="211">
        <v>50</v>
      </c>
      <c r="Z8" s="211">
        <v>0</v>
      </c>
      <c r="AA8" s="211"/>
      <c r="AB8" s="211"/>
      <c r="AC8" s="211"/>
      <c r="AD8" s="211"/>
      <c r="AE8" s="211"/>
      <c r="AF8" s="321">
        <f t="shared" si="0"/>
        <v>16.6666666666667</v>
      </c>
      <c r="AG8" s="324">
        <f t="shared" si="3"/>
        <v>32</v>
      </c>
      <c r="AH8" s="318"/>
      <c r="AI8" s="325">
        <f t="shared" si="4"/>
        <v>28.8</v>
      </c>
      <c r="AJ8" s="319">
        <f t="shared" si="5"/>
        <v>29</v>
      </c>
    </row>
    <row r="9" spans="1:36">
      <c r="A9" s="306">
        <v>4</v>
      </c>
      <c r="B9" s="289" t="s">
        <v>50</v>
      </c>
      <c r="C9" s="211"/>
      <c r="D9" s="211"/>
      <c r="E9" s="211"/>
      <c r="F9" s="211"/>
      <c r="G9" s="211"/>
      <c r="H9" s="211"/>
      <c r="I9" s="211"/>
      <c r="J9" s="211"/>
      <c r="K9" s="211"/>
      <c r="L9" s="211"/>
      <c r="M9" s="311" t="e">
        <f t="shared" si="1"/>
        <v>#DIV/0!</v>
      </c>
      <c r="N9" s="211">
        <v>100</v>
      </c>
      <c r="O9" s="211">
        <v>100</v>
      </c>
      <c r="P9" s="211">
        <v>95</v>
      </c>
      <c r="Q9" s="211">
        <v>100</v>
      </c>
      <c r="R9" s="211">
        <v>100</v>
      </c>
      <c r="S9" s="211">
        <v>95</v>
      </c>
      <c r="T9" s="211"/>
      <c r="U9" s="211"/>
      <c r="V9" s="211"/>
      <c r="W9" s="321">
        <f t="shared" si="2"/>
        <v>98.3333333333333</v>
      </c>
      <c r="X9" s="211">
        <v>100</v>
      </c>
      <c r="Y9" s="211">
        <v>75</v>
      </c>
      <c r="Z9" s="211">
        <v>90</v>
      </c>
      <c r="AA9" s="211"/>
      <c r="AB9" s="211"/>
      <c r="AC9" s="211"/>
      <c r="AD9" s="211"/>
      <c r="AE9" s="211"/>
      <c r="AF9" s="321">
        <f t="shared" si="0"/>
        <v>88.3333333333333</v>
      </c>
      <c r="AG9" s="324">
        <f t="shared" si="3"/>
        <v>93.3333333333333</v>
      </c>
      <c r="AH9" s="318">
        <v>75</v>
      </c>
      <c r="AI9" s="325">
        <f t="shared" si="4"/>
        <v>91.5</v>
      </c>
      <c r="AJ9" s="319">
        <f t="shared" si="5"/>
        <v>92</v>
      </c>
    </row>
    <row r="10" spans="1:36">
      <c r="A10" s="306">
        <v>5</v>
      </c>
      <c r="B10" s="289" t="s">
        <v>56</v>
      </c>
      <c r="C10" s="211"/>
      <c r="D10" s="211"/>
      <c r="E10" s="211"/>
      <c r="F10" s="211"/>
      <c r="G10" s="211"/>
      <c r="H10" s="211"/>
      <c r="I10" s="211"/>
      <c r="J10" s="211"/>
      <c r="K10" s="211"/>
      <c r="L10" s="211"/>
      <c r="M10" s="311" t="e">
        <f t="shared" si="1"/>
        <v>#DIV/0!</v>
      </c>
      <c r="N10" s="211">
        <v>100</v>
      </c>
      <c r="O10" s="211">
        <v>94</v>
      </c>
      <c r="P10" s="211">
        <v>100</v>
      </c>
      <c r="Q10" s="211">
        <v>100</v>
      </c>
      <c r="R10" s="211"/>
      <c r="S10" s="211"/>
      <c r="T10" s="211"/>
      <c r="U10" s="211"/>
      <c r="V10" s="211"/>
      <c r="W10" s="321">
        <f t="shared" si="2"/>
        <v>98.5</v>
      </c>
      <c r="X10" s="211">
        <v>50</v>
      </c>
      <c r="Y10" s="211">
        <v>90</v>
      </c>
      <c r="Z10" s="211"/>
      <c r="AA10" s="211"/>
      <c r="AB10" s="211"/>
      <c r="AC10" s="211"/>
      <c r="AD10" s="211"/>
      <c r="AE10" s="211"/>
      <c r="AF10" s="321">
        <f t="shared" si="0"/>
        <v>70</v>
      </c>
      <c r="AG10" s="324">
        <f t="shared" si="3"/>
        <v>84.25</v>
      </c>
      <c r="AH10" s="318">
        <v>92</v>
      </c>
      <c r="AI10" s="325">
        <f t="shared" si="4"/>
        <v>85.025</v>
      </c>
      <c r="AJ10" s="319">
        <f t="shared" si="5"/>
        <v>85</v>
      </c>
    </row>
    <row r="11" spans="1:36">
      <c r="A11" s="306">
        <v>6</v>
      </c>
      <c r="B11" s="289" t="s">
        <v>63</v>
      </c>
      <c r="C11" s="211"/>
      <c r="D11" s="211"/>
      <c r="E11" s="211"/>
      <c r="F11" s="211"/>
      <c r="G11" s="211"/>
      <c r="H11" s="211"/>
      <c r="I11" s="211"/>
      <c r="J11" s="211"/>
      <c r="K11" s="211"/>
      <c r="L11" s="211"/>
      <c r="M11" s="311" t="e">
        <f t="shared" si="1"/>
        <v>#DIV/0!</v>
      </c>
      <c r="N11" s="211">
        <v>90</v>
      </c>
      <c r="O11" s="211">
        <v>100</v>
      </c>
      <c r="P11" s="211">
        <v>100</v>
      </c>
      <c r="Q11" s="211">
        <v>100</v>
      </c>
      <c r="R11" s="211">
        <v>100</v>
      </c>
      <c r="S11" s="211">
        <v>99</v>
      </c>
      <c r="T11" s="211"/>
      <c r="U11" s="211"/>
      <c r="V11" s="211"/>
      <c r="W11" s="321">
        <f t="shared" si="2"/>
        <v>98.1666666666667</v>
      </c>
      <c r="X11" s="211">
        <v>80</v>
      </c>
      <c r="Y11" s="211">
        <v>100</v>
      </c>
      <c r="Z11" s="211">
        <v>85</v>
      </c>
      <c r="AA11" s="211"/>
      <c r="AB11" s="211"/>
      <c r="AC11" s="211"/>
      <c r="AD11" s="211"/>
      <c r="AE11" s="211"/>
      <c r="AF11" s="321">
        <f t="shared" si="0"/>
        <v>88.3333333333333</v>
      </c>
      <c r="AG11" s="324">
        <f t="shared" si="3"/>
        <v>93.25</v>
      </c>
      <c r="AH11" s="318">
        <v>87</v>
      </c>
      <c r="AI11" s="325">
        <f t="shared" si="4"/>
        <v>92.625</v>
      </c>
      <c r="AJ11" s="319">
        <f t="shared" si="5"/>
        <v>93</v>
      </c>
    </row>
    <row r="12" spans="1:36">
      <c r="A12" s="306">
        <v>7</v>
      </c>
      <c r="B12" s="289" t="s">
        <v>70</v>
      </c>
      <c r="C12" s="211"/>
      <c r="D12" s="211"/>
      <c r="E12" s="211"/>
      <c r="F12" s="211"/>
      <c r="G12" s="211"/>
      <c r="H12" s="211"/>
      <c r="I12" s="211"/>
      <c r="J12" s="211"/>
      <c r="K12" s="211"/>
      <c r="L12" s="211"/>
      <c r="M12" s="311" t="e">
        <f t="shared" si="1"/>
        <v>#DIV/0!</v>
      </c>
      <c r="N12" s="211">
        <v>80</v>
      </c>
      <c r="O12" s="211">
        <v>75</v>
      </c>
      <c r="P12" s="211">
        <v>100</v>
      </c>
      <c r="Q12" s="211">
        <v>95</v>
      </c>
      <c r="R12" s="211">
        <v>100</v>
      </c>
      <c r="S12" s="211">
        <v>94</v>
      </c>
      <c r="T12" s="211"/>
      <c r="U12" s="211"/>
      <c r="V12" s="211"/>
      <c r="W12" s="321">
        <f t="shared" si="2"/>
        <v>90.6666666666667</v>
      </c>
      <c r="X12" s="211">
        <v>60</v>
      </c>
      <c r="Y12" s="211">
        <v>90</v>
      </c>
      <c r="Z12" s="211">
        <v>100</v>
      </c>
      <c r="AA12" s="211"/>
      <c r="AB12" s="211"/>
      <c r="AC12" s="211"/>
      <c r="AD12" s="211"/>
      <c r="AE12" s="211"/>
      <c r="AF12" s="321">
        <f t="shared" si="0"/>
        <v>83.3333333333333</v>
      </c>
      <c r="AG12" s="324">
        <f t="shared" si="3"/>
        <v>87</v>
      </c>
      <c r="AH12" s="318">
        <v>95</v>
      </c>
      <c r="AI12" s="325">
        <f t="shared" si="4"/>
        <v>87.8</v>
      </c>
      <c r="AJ12" s="319">
        <f t="shared" si="5"/>
        <v>88</v>
      </c>
    </row>
    <row r="13" spans="1:36">
      <c r="A13" s="306">
        <v>8</v>
      </c>
      <c r="B13" s="289" t="s">
        <v>76</v>
      </c>
      <c r="C13" s="211"/>
      <c r="D13" s="211"/>
      <c r="E13" s="211"/>
      <c r="F13" s="211"/>
      <c r="G13" s="211"/>
      <c r="H13" s="211"/>
      <c r="I13" s="211"/>
      <c r="J13" s="211"/>
      <c r="K13" s="211"/>
      <c r="L13" s="211"/>
      <c r="M13" s="311" t="e">
        <f t="shared" si="1"/>
        <v>#DIV/0!</v>
      </c>
      <c r="N13" s="211">
        <v>100</v>
      </c>
      <c r="O13" s="211">
        <v>100</v>
      </c>
      <c r="P13" s="211">
        <v>100</v>
      </c>
      <c r="Q13" s="211">
        <v>100</v>
      </c>
      <c r="R13" s="211">
        <v>100</v>
      </c>
      <c r="S13" s="211">
        <v>100</v>
      </c>
      <c r="T13" s="211"/>
      <c r="U13" s="211"/>
      <c r="V13" s="211"/>
      <c r="W13" s="321">
        <f t="shared" si="2"/>
        <v>100</v>
      </c>
      <c r="X13" s="211">
        <v>100</v>
      </c>
      <c r="Y13" s="211">
        <v>100</v>
      </c>
      <c r="Z13" s="211">
        <v>80</v>
      </c>
      <c r="AA13" s="211"/>
      <c r="AB13" s="211"/>
      <c r="AC13" s="211"/>
      <c r="AD13" s="211"/>
      <c r="AE13" s="211"/>
      <c r="AF13" s="321">
        <f t="shared" si="0"/>
        <v>93.3333333333333</v>
      </c>
      <c r="AG13" s="324">
        <f t="shared" si="3"/>
        <v>96.6666666666667</v>
      </c>
      <c r="AH13" s="318">
        <v>96</v>
      </c>
      <c r="AI13" s="325">
        <f t="shared" si="4"/>
        <v>96.6</v>
      </c>
      <c r="AJ13" s="319">
        <f t="shared" si="5"/>
        <v>97</v>
      </c>
    </row>
    <row r="14" spans="1:36">
      <c r="A14" s="308"/>
      <c r="B14" s="309"/>
      <c r="C14" s="293"/>
      <c r="D14" s="293"/>
      <c r="E14" s="293"/>
      <c r="F14" s="293"/>
      <c r="G14" s="293"/>
      <c r="H14" s="293"/>
      <c r="I14" s="293"/>
      <c r="J14" s="293"/>
      <c r="K14" s="293"/>
      <c r="L14" s="293"/>
      <c r="M14" s="293"/>
      <c r="N14" s="293"/>
      <c r="O14" s="293"/>
      <c r="P14" s="293"/>
      <c r="Q14" s="293"/>
      <c r="R14" s="293"/>
      <c r="S14" s="293"/>
      <c r="T14" s="293"/>
      <c r="U14" s="293"/>
      <c r="V14" s="293"/>
      <c r="W14" s="295"/>
      <c r="X14" s="293"/>
      <c r="Y14" s="293"/>
      <c r="Z14" s="293"/>
      <c r="AA14" s="293"/>
      <c r="AB14" s="293"/>
      <c r="AC14" s="293"/>
      <c r="AD14" s="293"/>
      <c r="AE14" s="293"/>
      <c r="AF14" s="295"/>
      <c r="AG14" s="295"/>
      <c r="AH14" s="293"/>
      <c r="AI14" s="326"/>
      <c r="AJ14" s="293"/>
    </row>
    <row r="15" spans="1:36">
      <c r="A15" s="308"/>
      <c r="B15" s="309"/>
      <c r="C15" s="293"/>
      <c r="D15" s="293"/>
      <c r="E15" s="293"/>
      <c r="F15" s="293"/>
      <c r="G15" s="293"/>
      <c r="H15" s="293"/>
      <c r="I15" s="293"/>
      <c r="J15" s="293"/>
      <c r="K15" s="293"/>
      <c r="L15" s="293"/>
      <c r="M15" s="293"/>
      <c r="N15" s="293"/>
      <c r="O15" s="293"/>
      <c r="P15" s="293"/>
      <c r="Q15" s="293"/>
      <c r="R15" s="293"/>
      <c r="S15" s="293"/>
      <c r="T15" s="293"/>
      <c r="U15" s="293"/>
      <c r="V15" s="293"/>
      <c r="W15" s="295"/>
      <c r="X15" s="293"/>
      <c r="Y15" s="293"/>
      <c r="Z15" s="293"/>
      <c r="AA15" s="293"/>
      <c r="AB15" s="293"/>
      <c r="AC15" s="293"/>
      <c r="AD15" s="293"/>
      <c r="AE15" s="293"/>
      <c r="AF15" s="295"/>
      <c r="AG15" s="295"/>
      <c r="AH15" s="293"/>
      <c r="AI15" s="326"/>
      <c r="AJ15" s="293"/>
    </row>
  </sheetData>
  <mergeCells count="13">
    <mergeCell ref="AG2:AH2"/>
    <mergeCell ref="C4:L4"/>
    <mergeCell ref="N4:V4"/>
    <mergeCell ref="X4:AE4"/>
    <mergeCell ref="A4:A5"/>
    <mergeCell ref="B4:B5"/>
    <mergeCell ref="M4:M5"/>
    <mergeCell ref="W4:W5"/>
    <mergeCell ref="AF4:AF5"/>
    <mergeCell ref="AG4:AG5"/>
    <mergeCell ref="AH4:AH5"/>
    <mergeCell ref="AI4:AI5"/>
    <mergeCell ref="AJ4:AJ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2:AM15"/>
  <sheetViews>
    <sheetView workbookViewId="0">
      <pane xSplit="2" topLeftCell="C1" activePane="topRight" state="frozen"/>
      <selection/>
      <selection pane="topRight" activeCell="AA12" sqref="AA12"/>
    </sheetView>
  </sheetViews>
  <sheetFormatPr defaultColWidth="9.14285714285714" defaultRowHeight="15"/>
  <cols>
    <col min="1" max="1" width="4" customWidth="1"/>
    <col min="2" max="2" width="44.5714285714286" customWidth="1"/>
    <col min="3" max="12" width="3.71428571428571" customWidth="1"/>
    <col min="13" max="13" width="8.57142857142857" customWidth="1"/>
    <col min="14" max="23" width="3.71428571428571" customWidth="1"/>
    <col min="24" max="24" width="8.57142857142857" customWidth="1"/>
    <col min="25" max="34" width="3.71428571428571" customWidth="1"/>
    <col min="35" max="35" width="8.42857142857143" customWidth="1"/>
    <col min="36" max="36" width="10.2857142857143" customWidth="1"/>
  </cols>
  <sheetData>
    <row r="2" spans="36:37">
      <c r="AJ2" s="211" t="s">
        <v>82</v>
      </c>
      <c r="AK2" s="211"/>
    </row>
    <row r="3" spans="36:37">
      <c r="AJ3" s="312">
        <v>0.9</v>
      </c>
      <c r="AK3" s="312">
        <v>0.1</v>
      </c>
    </row>
    <row r="4" spans="1:39">
      <c r="A4" s="211" t="s">
        <v>83</v>
      </c>
      <c r="B4" s="211" t="s">
        <v>84</v>
      </c>
      <c r="C4" s="211" t="s">
        <v>85</v>
      </c>
      <c r="D4" s="211"/>
      <c r="E4" s="211"/>
      <c r="F4" s="211"/>
      <c r="G4" s="211"/>
      <c r="H4" s="211"/>
      <c r="I4" s="211"/>
      <c r="J4" s="211"/>
      <c r="K4" s="211"/>
      <c r="L4" s="211"/>
      <c r="M4" s="310" t="s">
        <v>86</v>
      </c>
      <c r="N4" s="211" t="s">
        <v>87</v>
      </c>
      <c r="O4" s="211"/>
      <c r="P4" s="211"/>
      <c r="Q4" s="211"/>
      <c r="R4" s="211"/>
      <c r="S4" s="211"/>
      <c r="T4" s="211"/>
      <c r="U4" s="211"/>
      <c r="V4" s="211"/>
      <c r="W4" s="211"/>
      <c r="X4" s="310" t="s">
        <v>88</v>
      </c>
      <c r="Y4" s="211" t="s">
        <v>89</v>
      </c>
      <c r="Z4" s="211"/>
      <c r="AA4" s="211"/>
      <c r="AB4" s="211"/>
      <c r="AC4" s="211"/>
      <c r="AD4" s="211"/>
      <c r="AE4" s="211"/>
      <c r="AF4" s="211"/>
      <c r="AG4" s="211"/>
      <c r="AH4" s="211"/>
      <c r="AI4" s="310" t="s">
        <v>90</v>
      </c>
      <c r="AJ4" s="313" t="s">
        <v>91</v>
      </c>
      <c r="AK4" s="314" t="s">
        <v>92</v>
      </c>
      <c r="AL4" s="315" t="s">
        <v>93</v>
      </c>
      <c r="AM4" s="316" t="s">
        <v>94</v>
      </c>
    </row>
    <row r="5" spans="1:39">
      <c r="A5" s="306"/>
      <c r="B5" s="306"/>
      <c r="C5" s="307">
        <v>1</v>
      </c>
      <c r="D5" s="307">
        <v>2</v>
      </c>
      <c r="E5" s="307">
        <v>3</v>
      </c>
      <c r="F5" s="307">
        <v>4</v>
      </c>
      <c r="G5" s="307">
        <v>5</v>
      </c>
      <c r="H5" s="307">
        <v>6</v>
      </c>
      <c r="I5" s="307">
        <v>7</v>
      </c>
      <c r="J5" s="307">
        <v>8</v>
      </c>
      <c r="K5" s="307">
        <v>9</v>
      </c>
      <c r="L5" s="307">
        <v>10</v>
      </c>
      <c r="M5" s="310"/>
      <c r="N5" s="307">
        <v>1</v>
      </c>
      <c r="O5" s="307">
        <v>2</v>
      </c>
      <c r="P5" s="307">
        <v>3</v>
      </c>
      <c r="Q5" s="307">
        <v>4</v>
      </c>
      <c r="R5" s="307">
        <v>5</v>
      </c>
      <c r="S5" s="307">
        <v>6</v>
      </c>
      <c r="T5" s="307">
        <v>7</v>
      </c>
      <c r="U5" s="307">
        <v>8</v>
      </c>
      <c r="V5" s="307">
        <v>9</v>
      </c>
      <c r="W5" s="307">
        <v>10</v>
      </c>
      <c r="X5" s="310"/>
      <c r="Y5" s="307">
        <v>1</v>
      </c>
      <c r="Z5" s="307">
        <v>2</v>
      </c>
      <c r="AA5" s="307">
        <v>3</v>
      </c>
      <c r="AB5" s="307">
        <v>4</v>
      </c>
      <c r="AC5" s="307">
        <v>5</v>
      </c>
      <c r="AD5" s="307">
        <v>6</v>
      </c>
      <c r="AE5" s="307">
        <v>7</v>
      </c>
      <c r="AF5" s="307">
        <v>8</v>
      </c>
      <c r="AG5" s="307">
        <v>9</v>
      </c>
      <c r="AH5" s="307">
        <v>10</v>
      </c>
      <c r="AI5" s="310"/>
      <c r="AJ5" s="313"/>
      <c r="AK5" s="314"/>
      <c r="AL5" s="315"/>
      <c r="AM5" s="316"/>
    </row>
    <row r="6" spans="1:39">
      <c r="A6" s="306">
        <v>1</v>
      </c>
      <c r="B6" s="289" t="s">
        <v>25</v>
      </c>
      <c r="C6" s="211"/>
      <c r="D6" s="211"/>
      <c r="E6" s="211"/>
      <c r="F6" s="211"/>
      <c r="G6" s="211"/>
      <c r="H6" s="211"/>
      <c r="I6" s="211"/>
      <c r="J6" s="211"/>
      <c r="K6" s="211"/>
      <c r="L6" s="211"/>
      <c r="M6" s="311" t="e">
        <f t="shared" ref="M6:M15" si="0">AVERAGE(C6:L6)</f>
        <v>#DIV/0!</v>
      </c>
      <c r="N6" s="211"/>
      <c r="O6" s="211"/>
      <c r="P6" s="211"/>
      <c r="Q6" s="211"/>
      <c r="R6" s="211"/>
      <c r="S6" s="211"/>
      <c r="T6" s="211"/>
      <c r="U6" s="211"/>
      <c r="V6" s="211"/>
      <c r="W6" s="211"/>
      <c r="X6" s="311" t="e">
        <f t="shared" ref="X6:X15" si="1">AVERAGE(N6:W6)</f>
        <v>#DIV/0!</v>
      </c>
      <c r="Y6" s="211"/>
      <c r="Z6" s="211">
        <v>100</v>
      </c>
      <c r="AA6" s="211">
        <v>100</v>
      </c>
      <c r="AB6" s="211">
        <v>100</v>
      </c>
      <c r="AC6" s="211"/>
      <c r="AD6" s="211"/>
      <c r="AE6" s="211"/>
      <c r="AF6" s="211"/>
      <c r="AG6" s="211"/>
      <c r="AH6" s="211"/>
      <c r="AI6" s="311">
        <f t="shared" ref="AI6:AI15" si="2">AVERAGE(Y6:AH6)</f>
        <v>100</v>
      </c>
      <c r="AJ6" s="317" t="e">
        <f t="shared" ref="AJ6:AJ15" si="3">AVERAGE(M6,X6,AI6)</f>
        <v>#DIV/0!</v>
      </c>
      <c r="AK6" s="318">
        <v>96</v>
      </c>
      <c r="AL6" s="319" t="e">
        <f>SUMPRODUCT($AJ$3:$AK$3,AJ6:AK6)</f>
        <v>#DIV/0!</v>
      </c>
      <c r="AM6" s="319" t="e">
        <f>ROUND(AL6,0)</f>
        <v>#DIV/0!</v>
      </c>
    </row>
    <row r="7" spans="1:39">
      <c r="A7" s="306">
        <v>2</v>
      </c>
      <c r="B7" s="289" t="s">
        <v>36</v>
      </c>
      <c r="C7" s="211"/>
      <c r="D7" s="211"/>
      <c r="E7" s="211"/>
      <c r="F7" s="211"/>
      <c r="G7" s="211"/>
      <c r="H7" s="211"/>
      <c r="I7" s="211"/>
      <c r="J7" s="211"/>
      <c r="K7" s="211"/>
      <c r="L7" s="211"/>
      <c r="M7" s="311" t="e">
        <f t="shared" si="0"/>
        <v>#DIV/0!</v>
      </c>
      <c r="N7" s="211"/>
      <c r="O7" s="211"/>
      <c r="P7" s="211"/>
      <c r="Q7" s="211"/>
      <c r="R7" s="211"/>
      <c r="S7" s="211"/>
      <c r="T7" s="211"/>
      <c r="U7" s="211"/>
      <c r="V7" s="211"/>
      <c r="W7" s="211"/>
      <c r="X7" s="311" t="e">
        <f t="shared" si="1"/>
        <v>#DIV/0!</v>
      </c>
      <c r="Y7" s="211">
        <v>80</v>
      </c>
      <c r="Z7" s="211"/>
      <c r="AA7" s="211">
        <v>100</v>
      </c>
      <c r="AB7" s="211">
        <v>100</v>
      </c>
      <c r="AC7" s="211"/>
      <c r="AD7" s="211"/>
      <c r="AE7" s="211"/>
      <c r="AF7" s="211"/>
      <c r="AG7" s="211"/>
      <c r="AH7" s="211"/>
      <c r="AI7" s="311">
        <f t="shared" si="2"/>
        <v>93.3333333333333</v>
      </c>
      <c r="AJ7" s="317" t="e">
        <f t="shared" si="3"/>
        <v>#DIV/0!</v>
      </c>
      <c r="AK7" s="318">
        <v>96</v>
      </c>
      <c r="AL7" s="319" t="e">
        <f t="shared" ref="AL7:AL15" si="4">SUMPRODUCT($AJ$3:$AK$3,AJ7:AK7)</f>
        <v>#DIV/0!</v>
      </c>
      <c r="AM7" s="319" t="e">
        <f t="shared" ref="AM7:AM15" si="5">ROUND(AL7,0)</f>
        <v>#DIV/0!</v>
      </c>
    </row>
    <row r="8" spans="1:39">
      <c r="A8" s="306">
        <v>3</v>
      </c>
      <c r="B8" s="289" t="s">
        <v>44</v>
      </c>
      <c r="C8" s="211"/>
      <c r="D8" s="211"/>
      <c r="E8" s="211"/>
      <c r="F8" s="211"/>
      <c r="G8" s="211"/>
      <c r="H8" s="211"/>
      <c r="I8" s="211"/>
      <c r="J8" s="211"/>
      <c r="K8" s="211"/>
      <c r="L8" s="211"/>
      <c r="M8" s="311" t="e">
        <f t="shared" si="0"/>
        <v>#DIV/0!</v>
      </c>
      <c r="N8" s="211"/>
      <c r="O8" s="211"/>
      <c r="P8" s="211"/>
      <c r="Q8" s="211"/>
      <c r="R8" s="211"/>
      <c r="S8" s="211"/>
      <c r="T8" s="211"/>
      <c r="U8" s="211"/>
      <c r="V8" s="211"/>
      <c r="W8" s="211"/>
      <c r="X8" s="311" t="e">
        <f t="shared" si="1"/>
        <v>#DIV/0!</v>
      </c>
      <c r="Y8" s="211">
        <v>60</v>
      </c>
      <c r="Z8" s="211">
        <v>100</v>
      </c>
      <c r="AA8" s="211"/>
      <c r="AB8" s="211">
        <v>100</v>
      </c>
      <c r="AC8" s="211"/>
      <c r="AD8" s="211"/>
      <c r="AE8" s="211"/>
      <c r="AF8" s="211"/>
      <c r="AG8" s="211"/>
      <c r="AH8" s="211"/>
      <c r="AI8" s="311">
        <f t="shared" si="2"/>
        <v>86.6666666666667</v>
      </c>
      <c r="AJ8" s="317" t="e">
        <f t="shared" si="3"/>
        <v>#DIV/0!</v>
      </c>
      <c r="AK8" s="318">
        <v>80</v>
      </c>
      <c r="AL8" s="319" t="e">
        <f t="shared" si="4"/>
        <v>#DIV/0!</v>
      </c>
      <c r="AM8" s="319" t="e">
        <f t="shared" si="5"/>
        <v>#DIV/0!</v>
      </c>
    </row>
    <row r="9" spans="1:39">
      <c r="A9" s="306">
        <v>4</v>
      </c>
      <c r="B9" s="289" t="s">
        <v>50</v>
      </c>
      <c r="C9" s="211"/>
      <c r="D9" s="211"/>
      <c r="E9" s="211"/>
      <c r="F9" s="211"/>
      <c r="G9" s="211"/>
      <c r="H9" s="211"/>
      <c r="I9" s="211"/>
      <c r="J9" s="211"/>
      <c r="K9" s="211"/>
      <c r="L9" s="211"/>
      <c r="M9" s="311" t="e">
        <f t="shared" si="0"/>
        <v>#DIV/0!</v>
      </c>
      <c r="N9" s="211"/>
      <c r="O9" s="211"/>
      <c r="P9" s="211"/>
      <c r="Q9" s="211"/>
      <c r="R9" s="211"/>
      <c r="S9" s="211"/>
      <c r="T9" s="211"/>
      <c r="U9" s="211"/>
      <c r="V9" s="211"/>
      <c r="W9" s="211"/>
      <c r="X9" s="311" t="e">
        <f t="shared" si="1"/>
        <v>#DIV/0!</v>
      </c>
      <c r="Y9" s="211">
        <v>40</v>
      </c>
      <c r="Z9" s="211"/>
      <c r="AA9" s="211">
        <v>100</v>
      </c>
      <c r="AB9" s="211">
        <v>100</v>
      </c>
      <c r="AC9" s="211"/>
      <c r="AD9" s="211"/>
      <c r="AE9" s="211"/>
      <c r="AF9" s="211"/>
      <c r="AG9" s="211"/>
      <c r="AH9" s="211"/>
      <c r="AI9" s="311">
        <f t="shared" si="2"/>
        <v>80</v>
      </c>
      <c r="AJ9" s="317" t="e">
        <f t="shared" si="3"/>
        <v>#DIV/0!</v>
      </c>
      <c r="AK9" s="318">
        <v>68</v>
      </c>
      <c r="AL9" s="319" t="e">
        <f t="shared" si="4"/>
        <v>#DIV/0!</v>
      </c>
      <c r="AM9" s="319" t="e">
        <f t="shared" si="5"/>
        <v>#DIV/0!</v>
      </c>
    </row>
    <row r="10" spans="1:39">
      <c r="A10" s="306">
        <v>5</v>
      </c>
      <c r="B10" s="289" t="s">
        <v>56</v>
      </c>
      <c r="C10" s="211"/>
      <c r="D10" s="211"/>
      <c r="E10" s="211"/>
      <c r="F10" s="211"/>
      <c r="G10" s="211"/>
      <c r="H10" s="211"/>
      <c r="I10" s="211"/>
      <c r="J10" s="211"/>
      <c r="K10" s="211"/>
      <c r="L10" s="211"/>
      <c r="M10" s="311" t="e">
        <f t="shared" si="0"/>
        <v>#DIV/0!</v>
      </c>
      <c r="N10" s="211"/>
      <c r="O10" s="211"/>
      <c r="P10" s="211"/>
      <c r="Q10" s="211"/>
      <c r="R10" s="211"/>
      <c r="S10" s="211"/>
      <c r="T10" s="211"/>
      <c r="U10" s="211"/>
      <c r="V10" s="211"/>
      <c r="W10" s="211"/>
      <c r="X10" s="311" t="e">
        <f t="shared" si="1"/>
        <v>#DIV/0!</v>
      </c>
      <c r="Y10" s="211">
        <v>100</v>
      </c>
      <c r="Z10" s="211">
        <v>100</v>
      </c>
      <c r="AA10" s="211">
        <v>100</v>
      </c>
      <c r="AB10" s="211">
        <v>100</v>
      </c>
      <c r="AC10" s="211"/>
      <c r="AD10" s="211"/>
      <c r="AE10" s="211"/>
      <c r="AF10" s="211"/>
      <c r="AG10" s="211"/>
      <c r="AH10" s="211"/>
      <c r="AI10" s="311">
        <f t="shared" si="2"/>
        <v>100</v>
      </c>
      <c r="AJ10" s="317" t="e">
        <f t="shared" si="3"/>
        <v>#DIV/0!</v>
      </c>
      <c r="AK10" s="318">
        <v>84</v>
      </c>
      <c r="AL10" s="319" t="e">
        <f t="shared" si="4"/>
        <v>#DIV/0!</v>
      </c>
      <c r="AM10" s="319" t="e">
        <f t="shared" si="5"/>
        <v>#DIV/0!</v>
      </c>
    </row>
    <row r="11" spans="1:39">
      <c r="A11" s="306">
        <v>6</v>
      </c>
      <c r="B11" s="289" t="s">
        <v>63</v>
      </c>
      <c r="C11" s="211"/>
      <c r="D11" s="211"/>
      <c r="E11" s="211"/>
      <c r="F11" s="211"/>
      <c r="G11" s="211"/>
      <c r="H11" s="211"/>
      <c r="I11" s="211"/>
      <c r="J11" s="211"/>
      <c r="K11" s="211"/>
      <c r="L11" s="211"/>
      <c r="M11" s="311" t="e">
        <f t="shared" si="0"/>
        <v>#DIV/0!</v>
      </c>
      <c r="N11" s="211"/>
      <c r="O11" s="211"/>
      <c r="P11" s="211"/>
      <c r="Q11" s="211"/>
      <c r="R11" s="211"/>
      <c r="S11" s="211"/>
      <c r="T11" s="211"/>
      <c r="U11" s="211"/>
      <c r="V11" s="211"/>
      <c r="W11" s="211"/>
      <c r="X11" s="311" t="e">
        <f t="shared" si="1"/>
        <v>#DIV/0!</v>
      </c>
      <c r="Y11" s="211">
        <v>100</v>
      </c>
      <c r="Z11" s="211">
        <v>100</v>
      </c>
      <c r="AA11" s="211">
        <v>100</v>
      </c>
      <c r="AB11" s="211">
        <v>100</v>
      </c>
      <c r="AC11" s="211"/>
      <c r="AD11" s="211"/>
      <c r="AE11" s="211"/>
      <c r="AF11" s="211"/>
      <c r="AG11" s="211"/>
      <c r="AH11" s="211"/>
      <c r="AI11" s="311">
        <f t="shared" si="2"/>
        <v>100</v>
      </c>
      <c r="AJ11" s="317" t="e">
        <f t="shared" si="3"/>
        <v>#DIV/0!</v>
      </c>
      <c r="AK11" s="318">
        <v>98</v>
      </c>
      <c r="AL11" s="319" t="e">
        <f t="shared" si="4"/>
        <v>#DIV/0!</v>
      </c>
      <c r="AM11" s="319" t="e">
        <f t="shared" si="5"/>
        <v>#DIV/0!</v>
      </c>
    </row>
    <row r="12" spans="1:39">
      <c r="A12" s="306">
        <v>7</v>
      </c>
      <c r="B12" s="289" t="s">
        <v>70</v>
      </c>
      <c r="C12" s="211"/>
      <c r="D12" s="211"/>
      <c r="E12" s="211"/>
      <c r="F12" s="211"/>
      <c r="G12" s="211"/>
      <c r="H12" s="211"/>
      <c r="I12" s="211"/>
      <c r="J12" s="211"/>
      <c r="K12" s="211"/>
      <c r="L12" s="211"/>
      <c r="M12" s="311" t="e">
        <f t="shared" si="0"/>
        <v>#DIV/0!</v>
      </c>
      <c r="N12" s="211"/>
      <c r="O12" s="211"/>
      <c r="P12" s="211"/>
      <c r="Q12" s="211"/>
      <c r="R12" s="211"/>
      <c r="S12" s="211"/>
      <c r="T12" s="211"/>
      <c r="U12" s="211"/>
      <c r="V12" s="211"/>
      <c r="W12" s="211"/>
      <c r="X12" s="311" t="e">
        <f t="shared" si="1"/>
        <v>#DIV/0!</v>
      </c>
      <c r="Y12" s="211">
        <v>100</v>
      </c>
      <c r="Z12" s="211"/>
      <c r="AA12" s="211">
        <v>100</v>
      </c>
      <c r="AB12" s="211">
        <v>100</v>
      </c>
      <c r="AC12" s="211"/>
      <c r="AD12" s="211"/>
      <c r="AE12" s="211"/>
      <c r="AF12" s="211"/>
      <c r="AG12" s="211"/>
      <c r="AH12" s="211"/>
      <c r="AI12" s="311">
        <f t="shared" si="2"/>
        <v>100</v>
      </c>
      <c r="AJ12" s="317" t="e">
        <f t="shared" si="3"/>
        <v>#DIV/0!</v>
      </c>
      <c r="AK12" s="318">
        <v>100</v>
      </c>
      <c r="AL12" s="319" t="e">
        <f t="shared" si="4"/>
        <v>#DIV/0!</v>
      </c>
      <c r="AM12" s="319" t="e">
        <f t="shared" si="5"/>
        <v>#DIV/0!</v>
      </c>
    </row>
    <row r="13" spans="1:39">
      <c r="A13" s="306">
        <v>8</v>
      </c>
      <c r="B13" s="289" t="s">
        <v>76</v>
      </c>
      <c r="C13" s="211"/>
      <c r="D13" s="211"/>
      <c r="E13" s="211"/>
      <c r="F13" s="211"/>
      <c r="G13" s="211"/>
      <c r="H13" s="211"/>
      <c r="I13" s="211"/>
      <c r="J13" s="211"/>
      <c r="K13" s="211"/>
      <c r="L13" s="211"/>
      <c r="M13" s="311" t="e">
        <f t="shared" si="0"/>
        <v>#DIV/0!</v>
      </c>
      <c r="N13" s="211"/>
      <c r="O13" s="211"/>
      <c r="P13" s="211"/>
      <c r="Q13" s="211"/>
      <c r="R13" s="211"/>
      <c r="S13" s="211"/>
      <c r="T13" s="211"/>
      <c r="U13" s="211"/>
      <c r="V13" s="211"/>
      <c r="W13" s="211"/>
      <c r="X13" s="311" t="e">
        <f t="shared" si="1"/>
        <v>#DIV/0!</v>
      </c>
      <c r="Y13" s="211">
        <v>100</v>
      </c>
      <c r="Z13" s="211">
        <v>100</v>
      </c>
      <c r="AA13" s="211">
        <v>100</v>
      </c>
      <c r="AB13" s="211">
        <v>100</v>
      </c>
      <c r="AC13" s="211"/>
      <c r="AD13" s="211"/>
      <c r="AE13" s="211"/>
      <c r="AF13" s="211"/>
      <c r="AG13" s="211"/>
      <c r="AH13" s="211"/>
      <c r="AI13" s="311">
        <f t="shared" si="2"/>
        <v>100</v>
      </c>
      <c r="AJ13" s="317" t="e">
        <f t="shared" si="3"/>
        <v>#DIV/0!</v>
      </c>
      <c r="AK13" s="318">
        <v>98</v>
      </c>
      <c r="AL13" s="319" t="e">
        <f t="shared" si="4"/>
        <v>#DIV/0!</v>
      </c>
      <c r="AM13" s="319" t="e">
        <f t="shared" si="5"/>
        <v>#DIV/0!</v>
      </c>
    </row>
    <row r="14" spans="1:39">
      <c r="A14" s="308"/>
      <c r="B14" s="309"/>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row>
    <row r="15" spans="1:39">
      <c r="A15" s="308"/>
      <c r="B15" s="309"/>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3"/>
      <c r="AH15" s="293"/>
      <c r="AI15" s="293"/>
      <c r="AJ15" s="293"/>
      <c r="AK15" s="293"/>
      <c r="AL15" s="293"/>
      <c r="AM15" s="293"/>
    </row>
  </sheetData>
  <mergeCells count="13">
    <mergeCell ref="AJ2:AK2"/>
    <mergeCell ref="C4:L4"/>
    <mergeCell ref="N4:W4"/>
    <mergeCell ref="Y4:AH4"/>
    <mergeCell ref="A4:A5"/>
    <mergeCell ref="B4:B5"/>
    <mergeCell ref="M4:M5"/>
    <mergeCell ref="X4:X5"/>
    <mergeCell ref="AI4:AI5"/>
    <mergeCell ref="AJ4:AJ5"/>
    <mergeCell ref="AK4:AK5"/>
    <mergeCell ref="AL4:AL5"/>
    <mergeCell ref="AM4:AM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CAFD0"/>
  </sheetPr>
  <dimension ref="A3:S19"/>
  <sheetViews>
    <sheetView workbookViewId="0">
      <pane xSplit="2" topLeftCell="J1" activePane="topRight" state="frozen"/>
      <selection/>
      <selection pane="topRight" activeCell="J17" sqref="J17"/>
    </sheetView>
  </sheetViews>
  <sheetFormatPr defaultColWidth="9.14285714285714" defaultRowHeight="15"/>
  <cols>
    <col min="1" max="1" width="4.28571428571429" customWidth="1"/>
    <col min="2" max="2" width="45.7142857142857" customWidth="1"/>
    <col min="3" max="16" width="13.7142857142857" customWidth="1"/>
    <col min="17" max="19" width="3.71428571428571" customWidth="1"/>
  </cols>
  <sheetData>
    <row r="3" spans="1:19">
      <c r="A3" s="283" t="s">
        <v>83</v>
      </c>
      <c r="B3" s="283" t="s">
        <v>84</v>
      </c>
      <c r="C3" s="283" t="s">
        <v>93</v>
      </c>
      <c r="D3" s="283"/>
      <c r="E3" s="283"/>
      <c r="F3" s="283"/>
      <c r="G3" s="284" t="s">
        <v>97</v>
      </c>
      <c r="H3" s="284"/>
      <c r="I3" s="284"/>
      <c r="J3" s="284"/>
      <c r="K3" s="284"/>
      <c r="L3" s="284"/>
      <c r="M3" s="284"/>
      <c r="N3" s="296" t="s">
        <v>98</v>
      </c>
      <c r="O3" s="296" t="s">
        <v>99</v>
      </c>
      <c r="P3" s="297" t="s">
        <v>100</v>
      </c>
      <c r="Q3" s="304" t="s">
        <v>101</v>
      </c>
      <c r="R3" s="304"/>
      <c r="S3" s="304"/>
    </row>
    <row r="4" spans="1:19">
      <c r="A4" s="283"/>
      <c r="B4" s="283"/>
      <c r="C4" s="285" t="s">
        <v>102</v>
      </c>
      <c r="D4" s="285" t="s">
        <v>103</v>
      </c>
      <c r="E4" s="285" t="s">
        <v>104</v>
      </c>
      <c r="F4" s="285" t="s">
        <v>105</v>
      </c>
      <c r="G4" s="286" t="s">
        <v>102</v>
      </c>
      <c r="H4" s="287"/>
      <c r="I4" s="298"/>
      <c r="J4" s="287" t="s">
        <v>105</v>
      </c>
      <c r="K4" s="287"/>
      <c r="L4" s="287"/>
      <c r="M4" s="298"/>
      <c r="N4" s="299"/>
      <c r="O4" s="299"/>
      <c r="P4" s="300"/>
      <c r="Q4" s="305" t="s">
        <v>106</v>
      </c>
      <c r="R4" s="305" t="s">
        <v>107</v>
      </c>
      <c r="S4" s="305" t="s">
        <v>108</v>
      </c>
    </row>
    <row r="5" ht="9" customHeight="1" spans="1:19">
      <c r="A5" s="288">
        <v>1</v>
      </c>
      <c r="B5" s="288">
        <v>2</v>
      </c>
      <c r="C5" s="288">
        <v>3</v>
      </c>
      <c r="D5" s="288">
        <v>4</v>
      </c>
      <c r="E5" s="288">
        <v>5</v>
      </c>
      <c r="F5" s="288">
        <v>6</v>
      </c>
      <c r="G5" s="288">
        <v>7</v>
      </c>
      <c r="H5" s="288">
        <v>8</v>
      </c>
      <c r="I5" s="288">
        <v>9</v>
      </c>
      <c r="J5" s="288">
        <v>10</v>
      </c>
      <c r="K5" s="288">
        <v>11</v>
      </c>
      <c r="L5" s="288">
        <v>12</v>
      </c>
      <c r="M5" s="288">
        <v>13</v>
      </c>
      <c r="N5" s="288">
        <v>14</v>
      </c>
      <c r="O5" s="288">
        <v>15</v>
      </c>
      <c r="P5" s="288">
        <v>16</v>
      </c>
      <c r="Q5" s="288">
        <v>17</v>
      </c>
      <c r="R5" s="288">
        <v>18</v>
      </c>
      <c r="S5" s="288">
        <v>19</v>
      </c>
    </row>
    <row r="6" spans="1:19">
      <c r="A6" s="211">
        <v>1</v>
      </c>
      <c r="B6" s="289" t="s">
        <v>25</v>
      </c>
      <c r="C6" s="290" t="e">
        <f>PAI!AM6</f>
        <v>#DIV/0!</v>
      </c>
      <c r="D6" s="290" t="e">
        <f>LITERASI!AI6</f>
        <v>#DIV/0!</v>
      </c>
      <c r="E6" s="290">
        <f>'SAINS (MATH)'!AJ6</f>
        <v>95</v>
      </c>
      <c r="F6" s="291" t="e">
        <f>ADAB!AM6</f>
        <v>#DIV/0!</v>
      </c>
      <c r="G6" s="292">
        <v>90</v>
      </c>
      <c r="H6" s="292">
        <v>100</v>
      </c>
      <c r="I6" s="292">
        <v>97</v>
      </c>
      <c r="J6" s="292"/>
      <c r="K6" s="292"/>
      <c r="L6" s="292"/>
      <c r="M6" s="292"/>
      <c r="N6" s="290" t="e">
        <f>SUM(C6:M6)</f>
        <v>#DIV/0!</v>
      </c>
      <c r="O6" s="290" t="e">
        <f>AVERAGE(C6:M6)</f>
        <v>#DIV/0!</v>
      </c>
      <c r="P6" s="301" t="e">
        <f>RANK(N6,$N$6:$N$13,0)</f>
        <v>#DIV/0!</v>
      </c>
      <c r="Q6" s="305">
        <v>4</v>
      </c>
      <c r="R6" s="305">
        <v>0</v>
      </c>
      <c r="S6" s="305">
        <v>6</v>
      </c>
    </row>
    <row r="7" spans="1:19">
      <c r="A7" s="211">
        <v>2</v>
      </c>
      <c r="B7" s="289" t="s">
        <v>36</v>
      </c>
      <c r="C7" s="290" t="e">
        <f>PAI!AM7</f>
        <v>#DIV/0!</v>
      </c>
      <c r="D7" s="290" t="e">
        <f>LITERASI!AI7</f>
        <v>#DIV/0!</v>
      </c>
      <c r="E7" s="290">
        <f>'SAINS (MATH)'!AJ7</f>
        <v>96</v>
      </c>
      <c r="F7" s="291" t="e">
        <f>ADAB!AM7</f>
        <v>#DIV/0!</v>
      </c>
      <c r="G7" s="292">
        <v>90</v>
      </c>
      <c r="H7" s="292">
        <v>100</v>
      </c>
      <c r="I7" s="292">
        <v>95</v>
      </c>
      <c r="J7" s="292"/>
      <c r="K7" s="292"/>
      <c r="L7" s="292"/>
      <c r="M7" s="292"/>
      <c r="N7" s="290" t="e">
        <f t="shared" ref="N7:N13" si="0">SUM(C7:M7)</f>
        <v>#DIV/0!</v>
      </c>
      <c r="O7" s="290" t="e">
        <f t="shared" ref="O7:O13" si="1">AVERAGE(C7:M7)</f>
        <v>#DIV/0!</v>
      </c>
      <c r="P7" s="301" t="e">
        <f t="shared" ref="P7:P13" si="2">RANK(N7,$N$6:$N$13,0)</f>
        <v>#DIV/0!</v>
      </c>
      <c r="Q7" s="305">
        <v>12</v>
      </c>
      <c r="R7" s="305">
        <v>2</v>
      </c>
      <c r="S7" s="305">
        <v>0</v>
      </c>
    </row>
    <row r="8" spans="1:19">
      <c r="A8" s="211">
        <v>3</v>
      </c>
      <c r="B8" s="289" t="s">
        <v>44</v>
      </c>
      <c r="C8" s="290" t="e">
        <f>PAI!AM8</f>
        <v>#DIV/0!</v>
      </c>
      <c r="D8" s="290" t="e">
        <f>LITERASI!AI8</f>
        <v>#DIV/0!</v>
      </c>
      <c r="E8" s="290">
        <f>'SAINS (MATH)'!AJ8</f>
        <v>29</v>
      </c>
      <c r="F8" s="291" t="e">
        <f>ADAB!AM8</f>
        <v>#DIV/0!</v>
      </c>
      <c r="G8" s="292">
        <v>100</v>
      </c>
      <c r="H8" s="292">
        <v>100</v>
      </c>
      <c r="I8" s="292">
        <v>73</v>
      </c>
      <c r="J8" s="292"/>
      <c r="K8" s="292"/>
      <c r="L8" s="292"/>
      <c r="M8" s="292"/>
      <c r="N8" s="290" t="e">
        <f t="shared" si="0"/>
        <v>#DIV/0!</v>
      </c>
      <c r="O8" s="290" t="e">
        <f t="shared" si="1"/>
        <v>#DIV/0!</v>
      </c>
      <c r="P8" s="301" t="e">
        <f t="shared" si="2"/>
        <v>#DIV/0!</v>
      </c>
      <c r="Q8" s="305">
        <v>8</v>
      </c>
      <c r="R8" s="305">
        <v>1</v>
      </c>
      <c r="S8" s="305">
        <v>4</v>
      </c>
    </row>
    <row r="9" spans="1:19">
      <c r="A9" s="211">
        <v>4</v>
      </c>
      <c r="B9" s="289" t="s">
        <v>50</v>
      </c>
      <c r="C9" s="290" t="e">
        <f>PAI!AM9</f>
        <v>#DIV/0!</v>
      </c>
      <c r="D9" s="290" t="e">
        <f>LITERASI!AI9</f>
        <v>#DIV/0!</v>
      </c>
      <c r="E9" s="290">
        <f>'SAINS (MATH)'!AJ9</f>
        <v>92</v>
      </c>
      <c r="F9" s="291" t="e">
        <f>ADAB!AM9</f>
        <v>#DIV/0!</v>
      </c>
      <c r="G9" s="292">
        <v>100</v>
      </c>
      <c r="H9" s="292">
        <v>100</v>
      </c>
      <c r="I9" s="292">
        <v>92</v>
      </c>
      <c r="J9" s="292"/>
      <c r="K9" s="292"/>
      <c r="L9" s="292"/>
      <c r="M9" s="292"/>
      <c r="N9" s="290" t="e">
        <f t="shared" si="0"/>
        <v>#DIV/0!</v>
      </c>
      <c r="O9" s="290" t="e">
        <f t="shared" si="1"/>
        <v>#DIV/0!</v>
      </c>
      <c r="P9" s="301" t="e">
        <f t="shared" si="2"/>
        <v>#DIV/0!</v>
      </c>
      <c r="Q9" s="305">
        <v>9</v>
      </c>
      <c r="R9" s="305">
        <v>1</v>
      </c>
      <c r="S9" s="305">
        <v>1</v>
      </c>
    </row>
    <row r="10" spans="1:19">
      <c r="A10" s="211">
        <v>5</v>
      </c>
      <c r="B10" s="289" t="s">
        <v>56</v>
      </c>
      <c r="C10" s="290" t="e">
        <f>PAI!AM10</f>
        <v>#DIV/0!</v>
      </c>
      <c r="D10" s="290" t="e">
        <f>LITERASI!AI10</f>
        <v>#DIV/0!</v>
      </c>
      <c r="E10" s="290">
        <f>'SAINS (MATH)'!AJ10</f>
        <v>85</v>
      </c>
      <c r="F10" s="291" t="e">
        <f>ADAB!AM10</f>
        <v>#DIV/0!</v>
      </c>
      <c r="G10" s="292">
        <v>85</v>
      </c>
      <c r="H10" s="292">
        <v>100</v>
      </c>
      <c r="I10" s="292">
        <v>95</v>
      </c>
      <c r="J10" s="292"/>
      <c r="K10" s="292"/>
      <c r="L10" s="292"/>
      <c r="M10" s="292"/>
      <c r="N10" s="290" t="e">
        <f t="shared" si="0"/>
        <v>#DIV/0!</v>
      </c>
      <c r="O10" s="290" t="e">
        <f t="shared" si="1"/>
        <v>#DIV/0!</v>
      </c>
      <c r="P10" s="301" t="e">
        <f t="shared" si="2"/>
        <v>#DIV/0!</v>
      </c>
      <c r="Q10" s="305">
        <v>8</v>
      </c>
      <c r="R10" s="305">
        <v>3</v>
      </c>
      <c r="S10" s="305">
        <v>7</v>
      </c>
    </row>
    <row r="11" spans="1:19">
      <c r="A11" s="211">
        <v>6</v>
      </c>
      <c r="B11" s="289" t="s">
        <v>63</v>
      </c>
      <c r="C11" s="290" t="e">
        <f>PAI!AM11</f>
        <v>#DIV/0!</v>
      </c>
      <c r="D11" s="290" t="e">
        <f>LITERASI!AI11</f>
        <v>#DIV/0!</v>
      </c>
      <c r="E11" s="290">
        <f>'SAINS (MATH)'!AJ11</f>
        <v>93</v>
      </c>
      <c r="F11" s="291" t="e">
        <f>ADAB!AM11</f>
        <v>#DIV/0!</v>
      </c>
      <c r="G11" s="292">
        <v>85</v>
      </c>
      <c r="H11" s="292">
        <v>100</v>
      </c>
      <c r="I11" s="292">
        <v>95</v>
      </c>
      <c r="J11" s="292"/>
      <c r="K11" s="292"/>
      <c r="L11" s="292"/>
      <c r="M11" s="292"/>
      <c r="N11" s="290" t="e">
        <f t="shared" si="0"/>
        <v>#DIV/0!</v>
      </c>
      <c r="O11" s="290" t="e">
        <f t="shared" si="1"/>
        <v>#DIV/0!</v>
      </c>
      <c r="P11" s="301" t="e">
        <f t="shared" si="2"/>
        <v>#DIV/0!</v>
      </c>
      <c r="Q11" s="305">
        <v>10</v>
      </c>
      <c r="R11" s="305">
        <v>2</v>
      </c>
      <c r="S11" s="305">
        <v>2</v>
      </c>
    </row>
    <row r="12" spans="1:19">
      <c r="A12" s="211">
        <v>7</v>
      </c>
      <c r="B12" s="289" t="s">
        <v>70</v>
      </c>
      <c r="C12" s="290" t="e">
        <f>PAI!AM12</f>
        <v>#DIV/0!</v>
      </c>
      <c r="D12" s="290" t="e">
        <f>LITERASI!AI12</f>
        <v>#DIV/0!</v>
      </c>
      <c r="E12" s="290">
        <f>'SAINS (MATH)'!AJ12</f>
        <v>88</v>
      </c>
      <c r="F12" s="291" t="e">
        <f>ADAB!AM12</f>
        <v>#DIV/0!</v>
      </c>
      <c r="G12" s="292">
        <v>90</v>
      </c>
      <c r="H12" s="292">
        <v>90</v>
      </c>
      <c r="I12" s="292">
        <v>97</v>
      </c>
      <c r="J12" s="292"/>
      <c r="K12" s="292"/>
      <c r="L12" s="292"/>
      <c r="M12" s="292"/>
      <c r="N12" s="290" t="e">
        <f t="shared" si="0"/>
        <v>#DIV/0!</v>
      </c>
      <c r="O12" s="290" t="e">
        <f t="shared" si="1"/>
        <v>#DIV/0!</v>
      </c>
      <c r="P12" s="301" t="e">
        <f t="shared" si="2"/>
        <v>#DIV/0!</v>
      </c>
      <c r="Q12" s="305">
        <v>8</v>
      </c>
      <c r="R12" s="305">
        <v>4</v>
      </c>
      <c r="S12" s="305">
        <v>0</v>
      </c>
    </row>
    <row r="13" spans="1:19">
      <c r="A13" s="211">
        <v>8</v>
      </c>
      <c r="B13" s="289" t="s">
        <v>76</v>
      </c>
      <c r="C13" s="290" t="e">
        <f>PAI!AM13</f>
        <v>#DIV/0!</v>
      </c>
      <c r="D13" s="290" t="e">
        <f>LITERASI!AI13</f>
        <v>#DIV/0!</v>
      </c>
      <c r="E13" s="290">
        <f>'SAINS (MATH)'!AJ13</f>
        <v>97</v>
      </c>
      <c r="F13" s="291" t="e">
        <f>ADAB!AM13</f>
        <v>#DIV/0!</v>
      </c>
      <c r="G13" s="292">
        <v>90</v>
      </c>
      <c r="H13" s="292">
        <v>85</v>
      </c>
      <c r="I13" s="292">
        <v>97</v>
      </c>
      <c r="J13" s="292"/>
      <c r="K13" s="292"/>
      <c r="L13" s="292"/>
      <c r="M13" s="292"/>
      <c r="N13" s="290" t="e">
        <f t="shared" si="0"/>
        <v>#DIV/0!</v>
      </c>
      <c r="O13" s="290" t="e">
        <f t="shared" si="1"/>
        <v>#DIV/0!</v>
      </c>
      <c r="P13" s="301" t="e">
        <f t="shared" si="2"/>
        <v>#DIV/0!</v>
      </c>
      <c r="Q13" s="305">
        <v>5</v>
      </c>
      <c r="R13" s="305">
        <v>0</v>
      </c>
      <c r="S13" s="305">
        <v>10</v>
      </c>
    </row>
    <row r="14" spans="1:19">
      <c r="A14" s="293"/>
      <c r="B14" s="294"/>
      <c r="C14" s="295"/>
      <c r="D14" s="295"/>
      <c r="E14" s="295"/>
      <c r="F14" s="295"/>
      <c r="G14" s="295"/>
      <c r="H14" s="295"/>
      <c r="I14" s="295"/>
      <c r="J14" s="295"/>
      <c r="K14" s="295"/>
      <c r="L14" s="295"/>
      <c r="M14" s="295"/>
      <c r="N14" s="295"/>
      <c r="O14" s="295"/>
      <c r="P14" s="302"/>
      <c r="Q14" s="293"/>
      <c r="R14" s="293"/>
      <c r="S14" s="293"/>
    </row>
    <row r="15" spans="1:19">
      <c r="A15" s="293"/>
      <c r="B15" s="294"/>
      <c r="C15" s="295"/>
      <c r="D15" s="295"/>
      <c r="E15" s="295"/>
      <c r="F15" s="295"/>
      <c r="G15" s="295"/>
      <c r="H15" s="295"/>
      <c r="I15" s="295"/>
      <c r="J15" s="295"/>
      <c r="K15" s="295"/>
      <c r="L15" s="295"/>
      <c r="M15" s="295"/>
      <c r="N15" s="295"/>
      <c r="O15" s="295"/>
      <c r="P15" s="302"/>
      <c r="Q15" s="293"/>
      <c r="R15" s="293"/>
      <c r="S15" s="293"/>
    </row>
    <row r="19" spans="13:13">
      <c r="M19" s="303"/>
    </row>
  </sheetData>
  <mergeCells count="10">
    <mergeCell ref="C3:F3"/>
    <mergeCell ref="G3:M3"/>
    <mergeCell ref="Q3:S3"/>
    <mergeCell ref="G4:I4"/>
    <mergeCell ref="J4:M4"/>
    <mergeCell ref="A3:A4"/>
    <mergeCell ref="B3:B4"/>
    <mergeCell ref="N3:N4"/>
    <mergeCell ref="O3:O4"/>
    <mergeCell ref="P3:P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FF"/>
  </sheetPr>
  <dimension ref="A1:Q37"/>
  <sheetViews>
    <sheetView topLeftCell="A21" workbookViewId="0">
      <selection activeCell="N16" sqref="N16"/>
    </sheetView>
  </sheetViews>
  <sheetFormatPr defaultColWidth="9.14285714285714" defaultRowHeight="15"/>
  <cols>
    <col min="1" max="1" width="4" customWidth="1"/>
    <col min="2" max="2" width="20.7142857142857" customWidth="1"/>
    <col min="3" max="3" width="8" customWidth="1"/>
    <col min="4" max="4" width="7.85714285714286" customWidth="1"/>
    <col min="5" max="5" width="10.1428571428571" customWidth="1"/>
    <col min="7" max="7" width="10.4285714285714" customWidth="1"/>
  </cols>
  <sheetData>
    <row r="1" ht="15.75" spans="1:11">
      <c r="A1" s="1"/>
      <c r="B1" s="1"/>
      <c r="C1" s="1"/>
      <c r="D1" s="1"/>
      <c r="E1" s="1"/>
      <c r="F1" s="1"/>
      <c r="G1" s="1"/>
      <c r="H1" s="1"/>
      <c r="I1" s="1"/>
      <c r="J1" s="1"/>
      <c r="K1" s="1"/>
    </row>
    <row r="2" ht="15.75" spans="1:11">
      <c r="A2" s="1"/>
      <c r="B2" s="1"/>
      <c r="C2" s="1"/>
      <c r="D2" s="1"/>
      <c r="E2" s="1"/>
      <c r="F2" s="1"/>
      <c r="G2" s="1"/>
      <c r="H2" s="1"/>
      <c r="I2" s="1"/>
      <c r="J2" s="1"/>
      <c r="K2" s="1"/>
    </row>
    <row r="3" ht="15.75" spans="1:11">
      <c r="A3" s="1"/>
      <c r="B3" s="1"/>
      <c r="C3" s="208" t="s">
        <v>109</v>
      </c>
      <c r="D3" s="208"/>
      <c r="E3" s="208"/>
      <c r="F3" s="208"/>
      <c r="G3" s="208"/>
      <c r="H3" s="208"/>
      <c r="I3" s="208"/>
      <c r="J3" s="208"/>
      <c r="K3" s="267"/>
    </row>
    <row r="4" ht="15.75" spans="1:11">
      <c r="A4" s="1"/>
      <c r="B4" s="1"/>
      <c r="C4" s="208"/>
      <c r="D4" s="208"/>
      <c r="E4" s="208"/>
      <c r="F4" s="208"/>
      <c r="G4" s="208"/>
      <c r="H4" s="208"/>
      <c r="I4" s="208"/>
      <c r="J4" s="208"/>
      <c r="K4" s="267"/>
    </row>
    <row r="5" ht="15.75" spans="1:11">
      <c r="A5" s="1"/>
      <c r="B5" s="1"/>
      <c r="C5" s="208"/>
      <c r="D5" s="208"/>
      <c r="E5" s="208"/>
      <c r="F5" s="208"/>
      <c r="G5" s="208"/>
      <c r="H5" s="208"/>
      <c r="I5" s="208"/>
      <c r="J5" s="208"/>
      <c r="K5" s="267"/>
    </row>
    <row r="6" ht="16.5" spans="1:11">
      <c r="A6" s="217"/>
      <c r="B6" s="217"/>
      <c r="C6" s="209"/>
      <c r="D6" s="209"/>
      <c r="E6" s="209"/>
      <c r="F6" s="209"/>
      <c r="G6" s="209"/>
      <c r="H6" s="209"/>
      <c r="I6" s="209"/>
      <c r="J6" s="209"/>
      <c r="K6" s="1"/>
    </row>
    <row r="7" ht="16.5" spans="1:11">
      <c r="A7" s="1"/>
      <c r="B7" s="1"/>
      <c r="C7" s="1"/>
      <c r="D7" s="1"/>
      <c r="E7" s="1"/>
      <c r="F7" s="1"/>
      <c r="G7" s="1"/>
      <c r="H7" s="1"/>
      <c r="I7" s="1"/>
      <c r="J7" s="1"/>
      <c r="K7" s="1"/>
    </row>
    <row r="8" ht="15.75" spans="1:11">
      <c r="A8" s="5" t="s">
        <v>110</v>
      </c>
      <c r="B8" s="5"/>
      <c r="C8" s="5"/>
      <c r="D8" s="6"/>
      <c r="E8" s="6" t="s">
        <v>111</v>
      </c>
      <c r="F8" s="6" t="str">
        <f>VLOOKUP(P15,'DATA SISWA'!A9:Q19,2,0)</f>
        <v>MUHAMMAD IBRAHIM ABDULLAH</v>
      </c>
      <c r="G8" s="1"/>
      <c r="H8" s="1"/>
      <c r="I8" s="1"/>
      <c r="J8" s="1"/>
      <c r="K8" s="1"/>
    </row>
    <row r="9" ht="15.75" spans="1:11">
      <c r="A9" s="5" t="s">
        <v>112</v>
      </c>
      <c r="B9" s="5"/>
      <c r="C9" s="5"/>
      <c r="D9" s="6"/>
      <c r="E9" s="6" t="s">
        <v>111</v>
      </c>
      <c r="F9" s="6" t="str">
        <f>'[1]DATA SISWA'!C3</f>
        <v>SD AL QUR'AN LANTABUR</v>
      </c>
      <c r="G9" s="1"/>
      <c r="H9" s="1"/>
      <c r="I9" s="1"/>
      <c r="J9" s="1"/>
      <c r="K9" s="1"/>
    </row>
    <row r="10" ht="15.75" spans="1:11">
      <c r="A10" s="5" t="s">
        <v>113</v>
      </c>
      <c r="B10" s="5"/>
      <c r="C10" s="5"/>
      <c r="D10" s="6"/>
      <c r="E10" s="6" t="s">
        <v>111</v>
      </c>
      <c r="F10" s="6" t="s">
        <v>3</v>
      </c>
      <c r="G10" s="190"/>
      <c r="H10" s="190"/>
      <c r="I10" s="190"/>
      <c r="J10" s="190"/>
      <c r="K10" s="190"/>
    </row>
    <row r="11" ht="15.75" spans="1:11">
      <c r="A11" s="5" t="s">
        <v>114</v>
      </c>
      <c r="B11" s="5"/>
      <c r="C11" s="5"/>
      <c r="D11" s="6"/>
      <c r="E11" s="6" t="s">
        <v>111</v>
      </c>
      <c r="F11" s="6" t="s">
        <v>7</v>
      </c>
      <c r="G11" s="190"/>
      <c r="H11" s="190"/>
      <c r="I11" s="190"/>
      <c r="J11" s="190"/>
      <c r="K11" s="190"/>
    </row>
    <row r="12" ht="16.5" spans="1:13">
      <c r="A12" s="1"/>
      <c r="B12" s="1"/>
      <c r="C12" s="190"/>
      <c r="D12" s="190"/>
      <c r="E12" s="190"/>
      <c r="F12" s="190"/>
      <c r="G12" s="190"/>
      <c r="H12" s="190"/>
      <c r="I12" s="190"/>
      <c r="J12" s="190"/>
      <c r="K12" s="190"/>
      <c r="M12" s="268"/>
    </row>
    <row r="13" ht="16.5" spans="1:11">
      <c r="A13" s="218" t="s">
        <v>83</v>
      </c>
      <c r="B13" s="219" t="s">
        <v>115</v>
      </c>
      <c r="C13" s="219" t="s">
        <v>116</v>
      </c>
      <c r="D13" s="220" t="s">
        <v>117</v>
      </c>
      <c r="E13" s="219" t="s">
        <v>118</v>
      </c>
      <c r="F13" s="221" t="s">
        <v>119</v>
      </c>
      <c r="G13" s="222"/>
      <c r="H13" s="222"/>
      <c r="I13" s="222"/>
      <c r="J13" s="269"/>
      <c r="K13" s="1"/>
    </row>
    <row r="14" ht="50.1" customHeight="1" spans="1:16">
      <c r="A14" s="223">
        <v>1</v>
      </c>
      <c r="B14" s="224" t="s">
        <v>102</v>
      </c>
      <c r="C14" s="225">
        <v>75</v>
      </c>
      <c r="D14" s="226" t="e">
        <f>VLOOKUP($P$15,REKAP!A6:S15,3,0)</f>
        <v>#DIV/0!</v>
      </c>
      <c r="E14" s="227" t="e">
        <f>VLOOKUP(D14,$P$22:$Q$24,2,1)</f>
        <v>#DIV/0!</v>
      </c>
      <c r="F14" s="228">
        <f>VLOOKUP($P$15,DESKRIPSI!$A$6:$F$13,3,0)</f>
        <v>0</v>
      </c>
      <c r="G14" s="229"/>
      <c r="H14" s="229"/>
      <c r="I14" s="229"/>
      <c r="J14" s="270"/>
      <c r="K14" s="1"/>
      <c r="P14" s="271" t="s">
        <v>120</v>
      </c>
    </row>
    <row r="15" ht="50.1" customHeight="1" spans="1:16">
      <c r="A15" s="230">
        <v>2</v>
      </c>
      <c r="B15" s="231" t="s">
        <v>103</v>
      </c>
      <c r="C15" s="225">
        <v>75</v>
      </c>
      <c r="D15" s="232" t="e">
        <f>VLOOKUP($P$15,REKAP!A6:S15,4,0)</f>
        <v>#DIV/0!</v>
      </c>
      <c r="E15" s="233" t="e">
        <f t="shared" ref="E15:E17" si="0">VLOOKUP(D15,$P$22:$Q$24,2,1)</f>
        <v>#DIV/0!</v>
      </c>
      <c r="F15" s="234">
        <f>VLOOKUP($P$15,DESKRIPSI!$A$6:$F$13,4,0)</f>
        <v>0</v>
      </c>
      <c r="G15" s="235"/>
      <c r="H15" s="235"/>
      <c r="I15" s="235"/>
      <c r="J15" s="272"/>
      <c r="K15" s="1"/>
      <c r="P15" s="273">
        <v>4</v>
      </c>
    </row>
    <row r="16" ht="50.1" customHeight="1" spans="1:12">
      <c r="A16" s="230">
        <v>3</v>
      </c>
      <c r="B16" s="231" t="s">
        <v>121</v>
      </c>
      <c r="C16" s="225">
        <v>75</v>
      </c>
      <c r="D16" s="232">
        <f>VLOOKUP($P$15,REKAP!A6:S15,5,0)</f>
        <v>92</v>
      </c>
      <c r="E16" s="233" t="str">
        <f t="shared" si="0"/>
        <v>A</v>
      </c>
      <c r="F16" s="236" t="str">
        <f>VLOOKUP($P$15,DESKRIPSI!$A$6:$F$13,5,0)</f>
        <v>Ananda IBRAHIM sangat baik dalam memahami materi penjumlahan dan bangun datar. Perlu berlatih lebih sering lagi pada materi pengurangan dan posisi benda.</v>
      </c>
      <c r="G16" s="237"/>
      <c r="H16" s="237"/>
      <c r="I16" s="237"/>
      <c r="J16" s="274"/>
      <c r="K16" s="1"/>
      <c r="L16" s="246"/>
    </row>
    <row r="17" ht="50.1" customHeight="1" spans="1:11">
      <c r="A17" s="238">
        <v>4</v>
      </c>
      <c r="B17" s="239" t="s">
        <v>105</v>
      </c>
      <c r="C17" s="225">
        <v>75</v>
      </c>
      <c r="D17" s="240" t="e">
        <f>VLOOKUP($P$15,REKAP!A6:S15,6,0)</f>
        <v>#DIV/0!</v>
      </c>
      <c r="E17" s="241" t="e">
        <f t="shared" si="0"/>
        <v>#DIV/0!</v>
      </c>
      <c r="F17" s="242">
        <f>VLOOKUP($P$15,DESKRIPSI!$A$6:$F$13,6,0)</f>
        <v>0</v>
      </c>
      <c r="G17" s="243"/>
      <c r="H17" s="243"/>
      <c r="I17" s="243"/>
      <c r="J17" s="275"/>
      <c r="K17" s="1"/>
    </row>
    <row r="18" ht="15.75" spans="1:11">
      <c r="A18" s="244" t="s">
        <v>122</v>
      </c>
      <c r="B18" s="244"/>
      <c r="C18" s="244"/>
      <c r="D18" s="245" t="e">
        <f>SUM(D14:D17)</f>
        <v>#DIV/0!</v>
      </c>
      <c r="E18" s="246"/>
      <c r="F18" s="17"/>
      <c r="G18" s="17"/>
      <c r="H18" s="247"/>
      <c r="I18" s="247"/>
      <c r="J18" s="247"/>
      <c r="K18" s="6"/>
    </row>
    <row r="19" ht="16.5" spans="1:11">
      <c r="A19" s="248" t="s">
        <v>123</v>
      </c>
      <c r="B19" s="248"/>
      <c r="C19" s="248"/>
      <c r="D19" s="249" t="e">
        <f>AVERAGE(D14:D17)</f>
        <v>#DIV/0!</v>
      </c>
      <c r="E19" s="17"/>
      <c r="F19" s="17"/>
      <c r="G19" s="17"/>
      <c r="H19" s="17"/>
      <c r="I19" s="17"/>
      <c r="J19" s="17"/>
      <c r="K19" s="247"/>
    </row>
    <row r="20" ht="15.75" spans="1:11">
      <c r="A20" s="52"/>
      <c r="B20" s="1"/>
      <c r="C20" s="1"/>
      <c r="D20" s="52"/>
      <c r="E20" s="52"/>
      <c r="F20" s="52"/>
      <c r="G20" s="52"/>
      <c r="H20" s="52"/>
      <c r="I20" s="52"/>
      <c r="J20" s="52"/>
      <c r="K20" s="247"/>
    </row>
    <row r="21" ht="16.5" spans="1:11">
      <c r="A21" s="52"/>
      <c r="B21" s="1"/>
      <c r="C21" s="1"/>
      <c r="D21" s="52"/>
      <c r="E21" s="52"/>
      <c r="F21" s="52"/>
      <c r="G21" s="52"/>
      <c r="H21" s="52"/>
      <c r="I21" s="52"/>
      <c r="J21" s="52"/>
      <c r="K21" s="247"/>
    </row>
    <row r="22" ht="16.5" spans="1:17">
      <c r="A22" s="250" t="s">
        <v>124</v>
      </c>
      <c r="B22" s="251"/>
      <c r="C22" s="252"/>
      <c r="D22" s="1"/>
      <c r="E22" s="1"/>
      <c r="F22" s="253" t="s">
        <v>117</v>
      </c>
      <c r="G22" s="254" t="s">
        <v>118</v>
      </c>
      <c r="H22" s="255" t="s">
        <v>125</v>
      </c>
      <c r="I22" s="276"/>
      <c r="J22" s="277"/>
      <c r="K22" s="1"/>
      <c r="P22">
        <v>75</v>
      </c>
      <c r="Q22" t="s">
        <v>126</v>
      </c>
    </row>
    <row r="23" ht="15.75" spans="1:17">
      <c r="A23" s="256">
        <v>1</v>
      </c>
      <c r="B23" s="257" t="s">
        <v>127</v>
      </c>
      <c r="C23" s="258">
        <f>VLOOKUP($P$15,REKAP!A6:S15,17,0)</f>
        <v>9</v>
      </c>
      <c r="D23" s="246"/>
      <c r="E23" s="246"/>
      <c r="F23" s="259" t="s">
        <v>128</v>
      </c>
      <c r="G23" s="260" t="s">
        <v>108</v>
      </c>
      <c r="H23" s="261" t="s">
        <v>129</v>
      </c>
      <c r="I23" s="278"/>
      <c r="J23" s="279"/>
      <c r="K23" s="1"/>
      <c r="P23">
        <v>83</v>
      </c>
      <c r="Q23" t="s">
        <v>130</v>
      </c>
    </row>
    <row r="24" ht="15.75" spans="1:17">
      <c r="A24" s="201">
        <v>2</v>
      </c>
      <c r="B24" s="88" t="s">
        <v>131</v>
      </c>
      <c r="C24" s="10">
        <f>VLOOKUP($P$15,REKAP!A6:S15,18,0)</f>
        <v>1</v>
      </c>
      <c r="D24" s="1"/>
      <c r="E24" s="1"/>
      <c r="F24" s="103" t="s">
        <v>132</v>
      </c>
      <c r="G24" s="10" t="s">
        <v>130</v>
      </c>
      <c r="H24" s="262" t="s">
        <v>133</v>
      </c>
      <c r="I24" s="199"/>
      <c r="J24" s="280"/>
      <c r="K24" s="1"/>
      <c r="P24">
        <v>91</v>
      </c>
      <c r="Q24" t="s">
        <v>108</v>
      </c>
    </row>
    <row r="25" ht="16.5" spans="1:11">
      <c r="A25" s="263">
        <v>3</v>
      </c>
      <c r="B25" s="91" t="s">
        <v>134</v>
      </c>
      <c r="C25" s="264">
        <f>VLOOKUP($P$15,REKAP!A6:S15,19,0)</f>
        <v>1</v>
      </c>
      <c r="D25" s="1"/>
      <c r="E25" s="1"/>
      <c r="F25" s="107" t="s">
        <v>135</v>
      </c>
      <c r="G25" s="22" t="s">
        <v>126</v>
      </c>
      <c r="H25" s="265" t="s">
        <v>136</v>
      </c>
      <c r="I25" s="281"/>
      <c r="J25" s="282"/>
      <c r="K25" s="1"/>
    </row>
    <row r="26" ht="15.75" spans="1:11">
      <c r="A26" s="1"/>
      <c r="B26" s="1"/>
      <c r="C26" s="1"/>
      <c r="D26" s="1"/>
      <c r="E26" s="1"/>
      <c r="F26" s="1"/>
      <c r="G26" s="1"/>
      <c r="H26" s="1"/>
      <c r="I26" s="1"/>
      <c r="J26" s="1"/>
      <c r="K26" s="1"/>
    </row>
    <row r="27" ht="15.75" spans="1:11">
      <c r="A27" s="1"/>
      <c r="B27" s="1"/>
      <c r="C27" s="1"/>
      <c r="D27" s="1"/>
      <c r="E27" s="1"/>
      <c r="F27" s="1"/>
      <c r="G27" s="1"/>
      <c r="H27" s="1"/>
      <c r="I27" s="1"/>
      <c r="J27" s="1"/>
      <c r="K27" s="1"/>
    </row>
    <row r="28" ht="15.75" spans="1:11">
      <c r="A28" s="1"/>
      <c r="B28" s="1" t="s">
        <v>137</v>
      </c>
      <c r="C28" s="1"/>
      <c r="D28" s="1"/>
      <c r="E28" s="1"/>
      <c r="F28" s="1"/>
      <c r="G28" s="1"/>
      <c r="H28" s="1" t="s">
        <v>138</v>
      </c>
      <c r="I28" s="1"/>
      <c r="J28" s="1"/>
      <c r="K28" s="1"/>
    </row>
    <row r="29" ht="15.75" spans="1:11">
      <c r="A29" s="1"/>
      <c r="B29" s="266" t="s">
        <v>139</v>
      </c>
      <c r="C29" s="1"/>
      <c r="D29" s="1"/>
      <c r="E29" s="1"/>
      <c r="F29" s="1"/>
      <c r="G29" s="1"/>
      <c r="H29" s="1" t="s">
        <v>140</v>
      </c>
      <c r="I29" s="1"/>
      <c r="J29" s="1"/>
      <c r="K29" s="1"/>
    </row>
    <row r="30" ht="15.75" spans="1:11">
      <c r="A30" s="1"/>
      <c r="B30" s="1"/>
      <c r="C30" s="1"/>
      <c r="D30" s="1"/>
      <c r="E30" s="1"/>
      <c r="F30" s="1"/>
      <c r="G30" s="1"/>
      <c r="H30" s="1"/>
      <c r="I30" s="1"/>
      <c r="J30" s="1"/>
      <c r="K30" s="1"/>
    </row>
    <row r="31" ht="15.75" spans="1:11">
      <c r="A31" s="1"/>
      <c r="B31" s="1"/>
      <c r="C31" s="1"/>
      <c r="D31" s="1"/>
      <c r="E31" s="1"/>
      <c r="F31" s="1"/>
      <c r="G31" s="1"/>
      <c r="H31" s="1"/>
      <c r="I31" s="1"/>
      <c r="J31" s="1"/>
      <c r="K31" s="1"/>
    </row>
    <row r="32" ht="15.75" spans="1:11">
      <c r="A32" s="1"/>
      <c r="B32" s="122" t="str">
        <f>VLOOKUP(RAPOR!$P$15,'DATA SISWA'!$A$9:$Q$18,13,0)</f>
        <v>FIRDAUS</v>
      </c>
      <c r="C32" s="1"/>
      <c r="D32" s="1"/>
      <c r="E32" s="1"/>
      <c r="F32" s="1"/>
      <c r="G32" s="1"/>
      <c r="H32" s="53" t="s">
        <v>141</v>
      </c>
      <c r="I32" s="1"/>
      <c r="J32" s="1"/>
      <c r="K32" s="1"/>
    </row>
    <row r="33" ht="15.75" spans="1:11">
      <c r="A33" s="1"/>
      <c r="B33" s="1"/>
      <c r="C33" s="1"/>
      <c r="D33" s="52"/>
      <c r="E33" s="52" t="s">
        <v>142</v>
      </c>
      <c r="F33" s="52"/>
      <c r="G33" s="1"/>
      <c r="H33" s="6" t="s">
        <v>143</v>
      </c>
      <c r="I33" s="1"/>
      <c r="J33" s="1"/>
      <c r="K33" s="1"/>
    </row>
    <row r="34" ht="15.75" spans="1:11">
      <c r="A34" s="1"/>
      <c r="B34" s="1"/>
      <c r="C34" s="1"/>
      <c r="D34" s="1"/>
      <c r="E34" s="1"/>
      <c r="F34" s="1"/>
      <c r="G34" s="1"/>
      <c r="H34" s="1"/>
      <c r="I34" s="1"/>
      <c r="J34" s="1"/>
      <c r="K34" s="1"/>
    </row>
    <row r="35" ht="15.75" spans="1:11">
      <c r="A35" s="1"/>
      <c r="B35" s="1"/>
      <c r="C35" s="1"/>
      <c r="D35" s="1"/>
      <c r="E35" s="1"/>
      <c r="F35" s="1"/>
      <c r="G35" s="1"/>
      <c r="H35" s="1"/>
      <c r="I35" s="1"/>
      <c r="J35" s="1"/>
      <c r="K35" s="1"/>
    </row>
    <row r="36" ht="15.75" spans="1:11">
      <c r="A36" s="1"/>
      <c r="B36" s="1"/>
      <c r="C36" s="1"/>
      <c r="D36" s="54"/>
      <c r="E36" s="54" t="s">
        <v>144</v>
      </c>
      <c r="F36" s="54"/>
      <c r="G36" s="1"/>
      <c r="H36" s="1"/>
      <c r="I36" s="1"/>
      <c r="J36" s="1"/>
      <c r="K36" s="1"/>
    </row>
    <row r="37" ht="15.75" spans="1:11">
      <c r="A37" s="1"/>
      <c r="B37" s="1"/>
      <c r="C37" s="1"/>
      <c r="D37" s="202"/>
      <c r="E37" s="202" t="s">
        <v>145</v>
      </c>
      <c r="F37" s="202"/>
      <c r="G37" s="1"/>
      <c r="H37" s="1"/>
      <c r="I37" s="1"/>
      <c r="J37" s="1"/>
      <c r="K37" s="1"/>
    </row>
  </sheetData>
  <mergeCells count="19">
    <mergeCell ref="A8:C8"/>
    <mergeCell ref="A9:C9"/>
    <mergeCell ref="A10:C10"/>
    <mergeCell ref="A11:C11"/>
    <mergeCell ref="F13:J13"/>
    <mergeCell ref="F14:J14"/>
    <mergeCell ref="F15:J15"/>
    <mergeCell ref="F16:J16"/>
    <mergeCell ref="F17:J17"/>
    <mergeCell ref="E21:J21"/>
    <mergeCell ref="A22:C22"/>
    <mergeCell ref="H22:J22"/>
    <mergeCell ref="H23:J23"/>
    <mergeCell ref="H24:J24"/>
    <mergeCell ref="H25:J25"/>
    <mergeCell ref="E33:F33"/>
    <mergeCell ref="E36:F36"/>
    <mergeCell ref="E37:F37"/>
    <mergeCell ref="C3:J6"/>
  </mergeCell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1026" name="Spinner 2" r:id="rId3">
              <controlPr defaultSize="0">
                <anchor moveWithCells="1" sizeWithCells="1">
                  <from>
                    <xdr:col>16</xdr:col>
                    <xdr:colOff>114300</xdr:colOff>
                    <xdr:row>13</xdr:row>
                    <xdr:rowOff>9525</xdr:rowOff>
                  </from>
                  <to>
                    <xdr:col>16</xdr:col>
                    <xdr:colOff>542925</xdr:colOff>
                    <xdr:row>14</xdr:row>
                    <xdr:rowOff>619125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99FF"/>
  </sheetPr>
  <dimension ref="A1:M399"/>
  <sheetViews>
    <sheetView topLeftCell="A16" workbookViewId="0">
      <selection activeCell="N293" sqref="N293"/>
    </sheetView>
  </sheetViews>
  <sheetFormatPr defaultColWidth="9" defaultRowHeight="15"/>
  <cols>
    <col min="1" max="1" width="23.5714285714286" customWidth="1"/>
    <col min="2" max="2" width="13.5714285714286" customWidth="1"/>
    <col min="3" max="3" width="8.71428571428571" customWidth="1"/>
    <col min="4" max="11" width="10.1428571428571" customWidth="1"/>
    <col min="16" max="16" width="12.8571428571429"/>
  </cols>
  <sheetData>
    <row r="1" spans="1:12">
      <c r="A1" s="120"/>
      <c r="B1" s="120"/>
      <c r="C1" s="120"/>
      <c r="D1" s="120"/>
      <c r="E1" s="120"/>
      <c r="F1" s="120"/>
      <c r="G1" s="120"/>
      <c r="H1" s="120"/>
      <c r="I1" s="120"/>
      <c r="J1" s="120"/>
      <c r="K1" s="120"/>
      <c r="L1" s="120"/>
    </row>
    <row r="2" spans="1:12">
      <c r="A2" s="120"/>
      <c r="B2" s="120"/>
      <c r="C2" s="120"/>
      <c r="D2" s="120"/>
      <c r="E2" s="120"/>
      <c r="F2" s="120"/>
      <c r="G2" s="120"/>
      <c r="H2" s="120"/>
      <c r="I2" s="120"/>
      <c r="J2" s="120"/>
      <c r="K2" s="120"/>
      <c r="L2" s="120"/>
    </row>
    <row r="3" ht="15.75" spans="1:12">
      <c r="A3" s="120"/>
      <c r="B3" s="187" t="s">
        <v>109</v>
      </c>
      <c r="C3" s="187"/>
      <c r="D3" s="187"/>
      <c r="E3" s="187"/>
      <c r="F3" s="187"/>
      <c r="G3" s="187"/>
      <c r="H3" s="187"/>
      <c r="I3" s="187"/>
      <c r="J3" s="203"/>
      <c r="K3" s="204"/>
      <c r="L3" s="120"/>
    </row>
    <row r="4" ht="15.75" spans="1:12">
      <c r="A4" s="120"/>
      <c r="B4" s="187"/>
      <c r="C4" s="187"/>
      <c r="D4" s="187"/>
      <c r="E4" s="187"/>
      <c r="F4" s="187"/>
      <c r="G4" s="187"/>
      <c r="H4" s="187"/>
      <c r="I4" s="187"/>
      <c r="J4" s="203"/>
      <c r="K4" s="204"/>
      <c r="L4" s="120"/>
    </row>
    <row r="5" ht="15.75" spans="1:12">
      <c r="A5" s="120"/>
      <c r="B5" s="187"/>
      <c r="C5" s="187"/>
      <c r="D5" s="187"/>
      <c r="E5" s="187"/>
      <c r="F5" s="187"/>
      <c r="G5" s="187"/>
      <c r="H5" s="187"/>
      <c r="I5" s="187"/>
      <c r="J5" s="203"/>
      <c r="K5" s="204"/>
      <c r="L5" s="120"/>
    </row>
    <row r="6" ht="16.5" spans="1:12">
      <c r="A6" s="188"/>
      <c r="B6" s="189"/>
      <c r="C6" s="189"/>
      <c r="D6" s="189"/>
      <c r="E6" s="189"/>
      <c r="F6" s="189"/>
      <c r="G6" s="189"/>
      <c r="H6" s="189"/>
      <c r="I6" s="189"/>
      <c r="J6" s="205"/>
      <c r="K6" s="188"/>
      <c r="L6" s="120"/>
    </row>
    <row r="7" ht="15.75" spans="1:12">
      <c r="A7" s="120"/>
      <c r="B7" s="120"/>
      <c r="C7" s="120"/>
      <c r="D7" s="120"/>
      <c r="E7" s="120"/>
      <c r="F7" s="120"/>
      <c r="G7" s="120"/>
      <c r="H7" s="120"/>
      <c r="I7" s="120"/>
      <c r="J7" s="120"/>
      <c r="K7" s="120"/>
      <c r="L7" s="120"/>
    </row>
    <row r="8" ht="15.75" spans="1:12">
      <c r="A8" s="5" t="s">
        <v>110</v>
      </c>
      <c r="B8" s="5"/>
      <c r="C8" s="5"/>
      <c r="D8" s="5"/>
      <c r="E8" s="6" t="s">
        <v>111</v>
      </c>
      <c r="F8" s="6" t="str">
        <f>'DATA SISWA'!B9</f>
        <v>ALIFAH HANANIYYA</v>
      </c>
      <c r="G8" s="120"/>
      <c r="H8" s="120"/>
      <c r="I8" s="120"/>
      <c r="J8" s="120"/>
      <c r="K8" s="120"/>
      <c r="L8" s="120"/>
    </row>
    <row r="9" ht="15.75" spans="1:12">
      <c r="A9" s="5" t="s">
        <v>112</v>
      </c>
      <c r="B9" s="5"/>
      <c r="C9" s="5"/>
      <c r="D9" s="5"/>
      <c r="E9" s="6" t="s">
        <v>111</v>
      </c>
      <c r="F9" s="6" t="s">
        <v>1</v>
      </c>
      <c r="G9" s="120"/>
      <c r="H9" s="120"/>
      <c r="I9" s="120"/>
      <c r="J9" s="120"/>
      <c r="K9" s="120"/>
      <c r="L9" s="120"/>
    </row>
    <row r="10" ht="15.75" spans="1:12">
      <c r="A10" s="5" t="s">
        <v>113</v>
      </c>
      <c r="B10" s="5"/>
      <c r="C10" s="5"/>
      <c r="D10" s="5"/>
      <c r="E10" s="6" t="s">
        <v>111</v>
      </c>
      <c r="F10" s="6" t="s">
        <v>3</v>
      </c>
      <c r="G10" s="190"/>
      <c r="H10" s="190"/>
      <c r="I10" s="190"/>
      <c r="J10" s="190"/>
      <c r="K10" s="190"/>
      <c r="L10" s="120"/>
    </row>
    <row r="11" ht="15.75" spans="1:12">
      <c r="A11" s="5" t="s">
        <v>114</v>
      </c>
      <c r="B11" s="5"/>
      <c r="C11" s="5"/>
      <c r="D11" s="5"/>
      <c r="E11" s="6" t="s">
        <v>111</v>
      </c>
      <c r="F11" s="6" t="s">
        <v>7</v>
      </c>
      <c r="G11" s="190"/>
      <c r="H11" s="190"/>
      <c r="I11" s="190"/>
      <c r="J11" s="190"/>
      <c r="K11" s="190"/>
      <c r="L11" s="120"/>
    </row>
    <row r="12" ht="15.75" spans="1:12">
      <c r="A12" s="6" t="s">
        <v>146</v>
      </c>
      <c r="B12" s="191"/>
      <c r="C12" s="191"/>
      <c r="D12" s="191"/>
      <c r="E12" s="6" t="s">
        <v>111</v>
      </c>
      <c r="F12" s="6" t="s">
        <v>5</v>
      </c>
      <c r="G12" s="120"/>
      <c r="H12" s="120"/>
      <c r="I12" s="120"/>
      <c r="J12" s="120"/>
      <c r="K12" s="120"/>
      <c r="L12" s="120"/>
    </row>
    <row r="13" spans="1:12">
      <c r="A13" s="120"/>
      <c r="B13" s="120"/>
      <c r="C13" s="120"/>
      <c r="D13" s="120"/>
      <c r="E13" s="120"/>
      <c r="F13" s="120"/>
      <c r="G13" s="120"/>
      <c r="H13" s="120"/>
      <c r="I13" s="120"/>
      <c r="J13" s="120"/>
      <c r="K13" s="120"/>
      <c r="L13" s="120"/>
    </row>
    <row r="14" ht="15.75" spans="1:12">
      <c r="A14" s="6" t="s">
        <v>147</v>
      </c>
      <c r="B14" s="120"/>
      <c r="C14" s="120"/>
      <c r="D14" s="120"/>
      <c r="E14" s="120"/>
      <c r="F14" s="120"/>
      <c r="G14" s="120"/>
      <c r="H14" s="120"/>
      <c r="I14" s="120"/>
      <c r="J14" s="120"/>
      <c r="K14" s="120"/>
      <c r="L14" s="120"/>
    </row>
    <row r="15" ht="15.75" spans="1:12">
      <c r="A15" s="192" t="s">
        <v>148</v>
      </c>
      <c r="B15" s="193"/>
      <c r="C15" s="193" t="s">
        <v>116</v>
      </c>
      <c r="D15" s="194" t="s">
        <v>117</v>
      </c>
      <c r="E15" s="192" t="s">
        <v>119</v>
      </c>
      <c r="F15" s="195"/>
      <c r="G15" s="195"/>
      <c r="H15" s="195"/>
      <c r="I15" s="195"/>
      <c r="J15" s="195"/>
      <c r="K15" s="193"/>
      <c r="L15" s="120"/>
    </row>
    <row r="16" ht="30" customHeight="1" spans="1:12">
      <c r="A16" s="196" t="s">
        <v>149</v>
      </c>
      <c r="B16" s="196"/>
      <c r="C16" s="177">
        <v>75</v>
      </c>
      <c r="D16" s="177">
        <v>90</v>
      </c>
      <c r="E16" s="197"/>
      <c r="F16" s="198"/>
      <c r="G16" s="198"/>
      <c r="H16" s="198"/>
      <c r="I16" s="198"/>
      <c r="J16" s="198"/>
      <c r="K16" s="206"/>
      <c r="L16" s="120"/>
    </row>
    <row r="17" ht="30" customHeight="1" spans="1:12">
      <c r="A17" s="196" t="s">
        <v>150</v>
      </c>
      <c r="B17" s="196"/>
      <c r="C17" s="177">
        <v>75</v>
      </c>
      <c r="D17" s="177">
        <v>100</v>
      </c>
      <c r="E17" s="197"/>
      <c r="F17" s="198"/>
      <c r="G17" s="198"/>
      <c r="H17" s="198"/>
      <c r="I17" s="198"/>
      <c r="J17" s="198"/>
      <c r="K17" s="206"/>
      <c r="L17" s="120"/>
    </row>
    <row r="18" ht="30" customHeight="1" spans="1:12">
      <c r="A18" s="196" t="s">
        <v>151</v>
      </c>
      <c r="B18" s="196"/>
      <c r="C18" s="177">
        <v>75</v>
      </c>
      <c r="D18" s="177">
        <v>97</v>
      </c>
      <c r="E18" s="197"/>
      <c r="F18" s="198"/>
      <c r="G18" s="198"/>
      <c r="H18" s="198"/>
      <c r="I18" s="198"/>
      <c r="J18" s="198"/>
      <c r="K18" s="206"/>
      <c r="L18" s="120"/>
    </row>
    <row r="19" ht="15.75" spans="1:12">
      <c r="A19" s="1"/>
      <c r="B19" s="1"/>
      <c r="C19" s="1"/>
      <c r="D19" s="1"/>
      <c r="E19" s="1"/>
      <c r="F19" s="1"/>
      <c r="G19" s="1"/>
      <c r="H19" s="1"/>
      <c r="I19" s="1"/>
      <c r="J19" s="1"/>
      <c r="K19" s="1"/>
      <c r="L19" s="120"/>
    </row>
    <row r="20" ht="15.75" spans="1:12">
      <c r="A20" s="6" t="s">
        <v>152</v>
      </c>
      <c r="B20" s="1"/>
      <c r="C20" s="1"/>
      <c r="D20" s="1"/>
      <c r="E20" s="1"/>
      <c r="F20" s="1"/>
      <c r="G20" s="1"/>
      <c r="H20" s="1"/>
      <c r="I20" s="1"/>
      <c r="J20" s="1"/>
      <c r="K20" s="1"/>
      <c r="L20" s="120"/>
    </row>
    <row r="21" ht="15.75" spans="1:12">
      <c r="A21" s="192" t="s">
        <v>148</v>
      </c>
      <c r="B21" s="193"/>
      <c r="C21" s="193" t="s">
        <v>116</v>
      </c>
      <c r="D21" s="194" t="s">
        <v>117</v>
      </c>
      <c r="E21" s="192" t="s">
        <v>119</v>
      </c>
      <c r="F21" s="195"/>
      <c r="G21" s="195"/>
      <c r="H21" s="195"/>
      <c r="I21" s="195"/>
      <c r="J21" s="195"/>
      <c r="K21" s="193"/>
      <c r="L21" s="120"/>
    </row>
    <row r="22" ht="30" customHeight="1" spans="1:12">
      <c r="A22" s="196" t="s">
        <v>153</v>
      </c>
      <c r="B22" s="196"/>
      <c r="C22" s="177">
        <v>75</v>
      </c>
      <c r="D22" s="177"/>
      <c r="E22" s="197"/>
      <c r="F22" s="198"/>
      <c r="G22" s="198"/>
      <c r="H22" s="198"/>
      <c r="I22" s="198"/>
      <c r="J22" s="198"/>
      <c r="K22" s="206"/>
      <c r="L22" s="120"/>
    </row>
    <row r="23" ht="30" customHeight="1" spans="1:12">
      <c r="A23" s="196" t="s">
        <v>154</v>
      </c>
      <c r="B23" s="196"/>
      <c r="C23" s="177">
        <v>75</v>
      </c>
      <c r="D23" s="177"/>
      <c r="E23" s="197"/>
      <c r="F23" s="198"/>
      <c r="G23" s="198"/>
      <c r="H23" s="198"/>
      <c r="I23" s="198"/>
      <c r="J23" s="198"/>
      <c r="K23" s="206"/>
      <c r="L23" s="120"/>
    </row>
    <row r="24" ht="30" customHeight="1" spans="1:12">
      <c r="A24" s="196" t="s">
        <v>155</v>
      </c>
      <c r="B24" s="196"/>
      <c r="C24" s="177">
        <v>75</v>
      </c>
      <c r="D24" s="177"/>
      <c r="E24" s="196"/>
      <c r="F24" s="196"/>
      <c r="G24" s="196"/>
      <c r="H24" s="196"/>
      <c r="I24" s="196"/>
      <c r="J24" s="196"/>
      <c r="K24" s="196"/>
      <c r="L24" s="120"/>
    </row>
    <row r="25" ht="30" customHeight="1" spans="1:12">
      <c r="A25" s="196" t="s">
        <v>156</v>
      </c>
      <c r="B25" s="196"/>
      <c r="C25" s="177">
        <v>75</v>
      </c>
      <c r="D25" s="199"/>
      <c r="E25" s="200"/>
      <c r="F25" s="201"/>
      <c r="G25" s="201"/>
      <c r="H25" s="201"/>
      <c r="I25" s="201"/>
      <c r="J25" s="201"/>
      <c r="K25" s="207"/>
      <c r="L25" s="120"/>
    </row>
    <row r="26" ht="15.75" spans="1:12">
      <c r="A26" s="1"/>
      <c r="B26" s="1"/>
      <c r="C26" s="1"/>
      <c r="D26" s="1"/>
      <c r="E26" s="1"/>
      <c r="F26" s="1"/>
      <c r="G26" s="1"/>
      <c r="H26" s="1"/>
      <c r="I26" s="1"/>
      <c r="J26" s="1"/>
      <c r="K26" s="1"/>
      <c r="L26" s="120"/>
    </row>
    <row r="27" customHeight="1" spans="1:12">
      <c r="A27" s="1"/>
      <c r="B27" s="1"/>
      <c r="C27" s="1"/>
      <c r="D27" s="1"/>
      <c r="E27" s="1"/>
      <c r="F27" s="1"/>
      <c r="G27" s="1"/>
      <c r="H27" s="1"/>
      <c r="I27" s="1"/>
      <c r="J27" s="1"/>
      <c r="K27" s="1"/>
      <c r="L27" s="120"/>
    </row>
    <row r="28" ht="15.75" spans="1:12">
      <c r="A28" s="1" t="s">
        <v>137</v>
      </c>
      <c r="B28" s="1"/>
      <c r="C28" s="1"/>
      <c r="D28" s="1"/>
      <c r="E28" s="1"/>
      <c r="F28" s="1"/>
      <c r="G28" s="1"/>
      <c r="H28" s="1"/>
      <c r="I28" s="1" t="s">
        <v>138</v>
      </c>
      <c r="J28" s="1"/>
      <c r="K28" s="1"/>
      <c r="L28" s="120"/>
    </row>
    <row r="29" ht="15.75" spans="1:12">
      <c r="A29" s="1" t="s">
        <v>139</v>
      </c>
      <c r="B29" s="1"/>
      <c r="C29" s="1"/>
      <c r="D29" s="1"/>
      <c r="E29" s="1"/>
      <c r="F29" s="1"/>
      <c r="G29" s="1"/>
      <c r="H29" s="1"/>
      <c r="I29" s="1" t="s">
        <v>140</v>
      </c>
      <c r="J29" s="1"/>
      <c r="K29" s="1"/>
      <c r="L29" s="120"/>
    </row>
    <row r="30" ht="15.75" spans="1:12">
      <c r="A30" s="1"/>
      <c r="B30" s="1"/>
      <c r="C30" s="1"/>
      <c r="D30" s="1"/>
      <c r="E30" s="1"/>
      <c r="F30" s="1"/>
      <c r="G30" s="1"/>
      <c r="H30" s="1"/>
      <c r="I30" s="1"/>
      <c r="J30" s="1"/>
      <c r="K30" s="1"/>
      <c r="L30" s="120"/>
    </row>
    <row r="31" ht="15.75" spans="1:12">
      <c r="A31" s="1"/>
      <c r="B31" s="1"/>
      <c r="C31" s="1"/>
      <c r="D31" s="1"/>
      <c r="E31" s="1"/>
      <c r="F31" s="1"/>
      <c r="G31" s="1"/>
      <c r="H31" s="1"/>
      <c r="I31" s="1"/>
      <c r="J31" s="1"/>
      <c r="K31" s="1"/>
      <c r="L31" s="120"/>
    </row>
    <row r="32" ht="15.75" spans="1:12">
      <c r="A32" s="122" t="str">
        <f>'DATA SISWA'!M9</f>
        <v>KHAIRUL ASHARI</v>
      </c>
      <c r="B32" s="1"/>
      <c r="C32" s="1"/>
      <c r="D32" s="1"/>
      <c r="E32" s="1"/>
      <c r="F32" s="1"/>
      <c r="G32" s="1"/>
      <c r="H32" s="1"/>
      <c r="I32" s="53" t="s">
        <v>141</v>
      </c>
      <c r="J32" s="1"/>
      <c r="K32" s="1"/>
      <c r="L32" s="120"/>
    </row>
    <row r="33" ht="15.75" spans="1:12">
      <c r="A33" s="1"/>
      <c r="B33" s="1"/>
      <c r="C33" s="1"/>
      <c r="D33" s="1"/>
      <c r="E33" s="1"/>
      <c r="F33" s="1"/>
      <c r="G33" s="1"/>
      <c r="H33" s="1"/>
      <c r="I33" s="6" t="s">
        <v>143</v>
      </c>
      <c r="J33" s="1"/>
      <c r="K33" s="1"/>
      <c r="L33" s="120"/>
    </row>
    <row r="34" ht="15.75" spans="1:12">
      <c r="A34" s="1"/>
      <c r="B34" s="1"/>
      <c r="C34" s="1"/>
      <c r="D34" s="52" t="s">
        <v>142</v>
      </c>
      <c r="E34" s="52"/>
      <c r="F34" s="52"/>
      <c r="G34" s="1"/>
      <c r="H34" s="1"/>
      <c r="I34" s="1"/>
      <c r="J34" s="1"/>
      <c r="K34" s="1"/>
      <c r="L34" s="120"/>
    </row>
    <row r="35" ht="15.75" spans="1:12">
      <c r="A35" s="1"/>
      <c r="B35" s="1"/>
      <c r="C35" s="1"/>
      <c r="D35" s="1"/>
      <c r="E35" s="1"/>
      <c r="F35" s="1"/>
      <c r="G35" s="1"/>
      <c r="H35" s="1"/>
      <c r="I35" s="1"/>
      <c r="J35" s="1"/>
      <c r="K35" s="1"/>
      <c r="L35" s="120"/>
    </row>
    <row r="36" ht="15.75" spans="1:12">
      <c r="A36" s="1"/>
      <c r="B36" s="1"/>
      <c r="C36" s="1"/>
      <c r="D36" s="1"/>
      <c r="E36" s="1"/>
      <c r="F36" s="1"/>
      <c r="G36" s="1"/>
      <c r="H36" s="1"/>
      <c r="I36" s="1"/>
      <c r="J36" s="1"/>
      <c r="K36" s="1"/>
      <c r="L36" s="120"/>
    </row>
    <row r="37" ht="15.75" spans="1:12">
      <c r="A37" s="1"/>
      <c r="B37" s="1"/>
      <c r="C37" s="1"/>
      <c r="D37" s="54" t="s">
        <v>144</v>
      </c>
      <c r="E37" s="54"/>
      <c r="F37" s="54"/>
      <c r="G37" s="1"/>
      <c r="H37" s="1"/>
      <c r="I37" s="1"/>
      <c r="J37" s="1"/>
      <c r="K37" s="1"/>
      <c r="L37" s="120"/>
    </row>
    <row r="38" ht="15.75" spans="1:12">
      <c r="A38" s="1"/>
      <c r="B38" s="1"/>
      <c r="C38" s="1"/>
      <c r="D38" s="202" t="s">
        <v>145</v>
      </c>
      <c r="E38" s="202"/>
      <c r="F38" s="202"/>
      <c r="G38" s="1"/>
      <c r="H38" s="1"/>
      <c r="I38" s="1"/>
      <c r="J38" s="1"/>
      <c r="K38" s="1"/>
      <c r="L38" s="120"/>
    </row>
    <row r="42" spans="1:11">
      <c r="A42" s="120"/>
      <c r="B42" s="120"/>
      <c r="C42" s="120"/>
      <c r="D42" s="120"/>
      <c r="E42" s="120"/>
      <c r="F42" s="120"/>
      <c r="G42" s="120"/>
      <c r="H42" s="120"/>
      <c r="I42" s="120"/>
      <c r="J42" s="120"/>
      <c r="K42" s="120"/>
    </row>
    <row r="43" spans="1:11">
      <c r="A43" s="120"/>
      <c r="B43" s="120"/>
      <c r="C43" s="120"/>
      <c r="D43" s="120"/>
      <c r="E43" s="120"/>
      <c r="F43" s="120"/>
      <c r="G43" s="120"/>
      <c r="H43" s="120"/>
      <c r="I43" s="120"/>
      <c r="J43" s="120"/>
      <c r="K43" s="120"/>
    </row>
    <row r="44" ht="15.75" spans="1:11">
      <c r="A44" s="120"/>
      <c r="B44" s="187" t="s">
        <v>109</v>
      </c>
      <c r="C44" s="187"/>
      <c r="D44" s="187"/>
      <c r="E44" s="187"/>
      <c r="F44" s="187"/>
      <c r="G44" s="187"/>
      <c r="H44" s="187"/>
      <c r="I44" s="187"/>
      <c r="J44" s="203"/>
      <c r="K44" s="204"/>
    </row>
    <row r="45" ht="15.75" spans="1:11">
      <c r="A45" s="120"/>
      <c r="B45" s="187"/>
      <c r="C45" s="187"/>
      <c r="D45" s="187"/>
      <c r="E45" s="187"/>
      <c r="F45" s="187"/>
      <c r="G45" s="187"/>
      <c r="H45" s="187"/>
      <c r="I45" s="187"/>
      <c r="J45" s="203"/>
      <c r="K45" s="204"/>
    </row>
    <row r="46" ht="15.75" spans="1:11">
      <c r="A46" s="120"/>
      <c r="B46" s="187"/>
      <c r="C46" s="187"/>
      <c r="D46" s="187"/>
      <c r="E46" s="187"/>
      <c r="F46" s="187"/>
      <c r="G46" s="187"/>
      <c r="H46" s="187"/>
      <c r="I46" s="187"/>
      <c r="J46" s="203"/>
      <c r="K46" s="204"/>
    </row>
    <row r="47" ht="16.5" spans="1:11">
      <c r="A47" s="188"/>
      <c r="B47" s="189"/>
      <c r="C47" s="189"/>
      <c r="D47" s="189"/>
      <c r="E47" s="189"/>
      <c r="F47" s="189"/>
      <c r="G47" s="189"/>
      <c r="H47" s="189"/>
      <c r="I47" s="189"/>
      <c r="J47" s="205"/>
      <c r="K47" s="188"/>
    </row>
    <row r="48" ht="15.75" spans="1:11">
      <c r="A48" s="120"/>
      <c r="B48" s="120"/>
      <c r="C48" s="120"/>
      <c r="D48" s="120"/>
      <c r="E48" s="120"/>
      <c r="F48" s="120"/>
      <c r="G48" s="120"/>
      <c r="H48" s="120"/>
      <c r="I48" s="120"/>
      <c r="J48" s="120"/>
      <c r="K48" s="120"/>
    </row>
    <row r="49" ht="15.75" spans="1:11">
      <c r="A49" s="5" t="s">
        <v>110</v>
      </c>
      <c r="B49" s="5"/>
      <c r="C49" s="5"/>
      <c r="D49" s="5"/>
      <c r="E49" s="6" t="s">
        <v>111</v>
      </c>
      <c r="F49" s="6" t="str">
        <f>'DATA SISWA'!B10</f>
        <v>IZQIAN ARSALAN KUSUMA</v>
      </c>
      <c r="G49" s="120"/>
      <c r="H49" s="120"/>
      <c r="I49" s="120"/>
      <c r="J49" s="120"/>
      <c r="K49" s="120"/>
    </row>
    <row r="50" ht="15.75" spans="1:11">
      <c r="A50" s="5" t="s">
        <v>112</v>
      </c>
      <c r="B50" s="5"/>
      <c r="C50" s="5"/>
      <c r="D50" s="5"/>
      <c r="E50" s="6" t="s">
        <v>111</v>
      </c>
      <c r="F50" s="6" t="s">
        <v>1</v>
      </c>
      <c r="G50" s="120"/>
      <c r="H50" s="120"/>
      <c r="I50" s="120"/>
      <c r="J50" s="120"/>
      <c r="K50" s="120"/>
    </row>
    <row r="51" ht="15.75" spans="1:11">
      <c r="A51" s="5" t="s">
        <v>113</v>
      </c>
      <c r="B51" s="5"/>
      <c r="C51" s="5"/>
      <c r="D51" s="5"/>
      <c r="E51" s="6" t="s">
        <v>111</v>
      </c>
      <c r="F51" s="6" t="s">
        <v>3</v>
      </c>
      <c r="G51" s="190"/>
      <c r="H51" s="190"/>
      <c r="I51" s="190"/>
      <c r="J51" s="190"/>
      <c r="K51" s="190"/>
    </row>
    <row r="52" ht="15.75" spans="1:11">
      <c r="A52" s="5" t="s">
        <v>114</v>
      </c>
      <c r="B52" s="5"/>
      <c r="C52" s="5"/>
      <c r="D52" s="5"/>
      <c r="E52" s="6" t="s">
        <v>111</v>
      </c>
      <c r="F52" s="6" t="s">
        <v>7</v>
      </c>
      <c r="G52" s="190"/>
      <c r="H52" s="190"/>
      <c r="I52" s="190"/>
      <c r="J52" s="190"/>
      <c r="K52" s="190"/>
    </row>
    <row r="53" ht="15.75" spans="1:11">
      <c r="A53" s="6" t="s">
        <v>146</v>
      </c>
      <c r="B53" s="191"/>
      <c r="C53" s="191"/>
      <c r="D53" s="191"/>
      <c r="E53" s="6" t="s">
        <v>111</v>
      </c>
      <c r="F53" s="6" t="s">
        <v>5</v>
      </c>
      <c r="G53" s="120"/>
      <c r="H53" s="120"/>
      <c r="I53" s="120"/>
      <c r="J53" s="120"/>
      <c r="K53" s="120"/>
    </row>
    <row r="54" spans="1:11">
      <c r="A54" s="120"/>
      <c r="B54" s="120"/>
      <c r="C54" s="120"/>
      <c r="D54" s="120"/>
      <c r="E54" s="120"/>
      <c r="F54" s="120"/>
      <c r="G54" s="120"/>
      <c r="H54" s="120"/>
      <c r="I54" s="120"/>
      <c r="J54" s="120"/>
      <c r="K54" s="120"/>
    </row>
    <row r="55" ht="15.75" spans="1:11">
      <c r="A55" s="6" t="s">
        <v>147</v>
      </c>
      <c r="B55" s="120"/>
      <c r="C55" s="120"/>
      <c r="D55" s="120"/>
      <c r="E55" s="120"/>
      <c r="F55" s="120"/>
      <c r="G55" s="120"/>
      <c r="H55" s="120"/>
      <c r="I55" s="120"/>
      <c r="J55" s="120"/>
      <c r="K55" s="120"/>
    </row>
    <row r="56" ht="15.75" spans="1:11">
      <c r="A56" s="192" t="s">
        <v>148</v>
      </c>
      <c r="B56" s="193"/>
      <c r="C56" s="193" t="s">
        <v>116</v>
      </c>
      <c r="D56" s="194" t="s">
        <v>117</v>
      </c>
      <c r="E56" s="192" t="s">
        <v>119</v>
      </c>
      <c r="F56" s="195"/>
      <c r="G56" s="195"/>
      <c r="H56" s="195"/>
      <c r="I56" s="195"/>
      <c r="J56" s="195"/>
      <c r="K56" s="193"/>
    </row>
    <row r="57" ht="30" customHeight="1" spans="1:11">
      <c r="A57" s="196" t="s">
        <v>149</v>
      </c>
      <c r="B57" s="196"/>
      <c r="C57" s="177">
        <v>75</v>
      </c>
      <c r="D57" s="177">
        <v>90</v>
      </c>
      <c r="E57" s="197"/>
      <c r="F57" s="198"/>
      <c r="G57" s="198"/>
      <c r="H57" s="198"/>
      <c r="I57" s="198"/>
      <c r="J57" s="198"/>
      <c r="K57" s="206"/>
    </row>
    <row r="58" ht="30" customHeight="1" spans="1:11">
      <c r="A58" s="196" t="s">
        <v>150</v>
      </c>
      <c r="B58" s="196"/>
      <c r="C58" s="177">
        <v>75</v>
      </c>
      <c r="D58" s="177">
        <v>100</v>
      </c>
      <c r="E58" s="197"/>
      <c r="F58" s="198"/>
      <c r="G58" s="198"/>
      <c r="H58" s="198"/>
      <c r="I58" s="198"/>
      <c r="J58" s="198"/>
      <c r="K58" s="206"/>
    </row>
    <row r="59" ht="30" customHeight="1" spans="1:11">
      <c r="A59" s="196" t="s">
        <v>151</v>
      </c>
      <c r="B59" s="196"/>
      <c r="C59" s="177">
        <v>75</v>
      </c>
      <c r="D59" s="177">
        <v>95</v>
      </c>
      <c r="E59" s="197"/>
      <c r="F59" s="198"/>
      <c r="G59" s="198"/>
      <c r="H59" s="198"/>
      <c r="I59" s="198"/>
      <c r="J59" s="198"/>
      <c r="K59" s="206"/>
    </row>
    <row r="60" ht="15.75" spans="1:11">
      <c r="A60" s="1"/>
      <c r="B60" s="1"/>
      <c r="C60" s="1"/>
      <c r="D60" s="1"/>
      <c r="E60" s="1"/>
      <c r="F60" s="1"/>
      <c r="G60" s="1"/>
      <c r="H60" s="1"/>
      <c r="I60" s="1"/>
      <c r="J60" s="1"/>
      <c r="K60" s="1"/>
    </row>
    <row r="61" ht="15.75" spans="1:11">
      <c r="A61" s="6" t="s">
        <v>152</v>
      </c>
      <c r="B61" s="1"/>
      <c r="C61" s="1"/>
      <c r="D61" s="1"/>
      <c r="E61" s="1"/>
      <c r="F61" s="1"/>
      <c r="G61" s="1"/>
      <c r="H61" s="1"/>
      <c r="I61" s="1"/>
      <c r="J61" s="1"/>
      <c r="K61" s="1"/>
    </row>
    <row r="62" ht="15.75" spans="1:11">
      <c r="A62" s="192" t="s">
        <v>148</v>
      </c>
      <c r="B62" s="193"/>
      <c r="C62" s="193" t="s">
        <v>116</v>
      </c>
      <c r="D62" s="194" t="s">
        <v>117</v>
      </c>
      <c r="E62" s="192" t="s">
        <v>119</v>
      </c>
      <c r="F62" s="195"/>
      <c r="G62" s="195"/>
      <c r="H62" s="195"/>
      <c r="I62" s="195"/>
      <c r="J62" s="195"/>
      <c r="K62" s="193"/>
    </row>
    <row r="63" ht="30.75" customHeight="1" spans="1:11">
      <c r="A63" s="196" t="s">
        <v>153</v>
      </c>
      <c r="B63" s="196"/>
      <c r="C63" s="177">
        <v>75</v>
      </c>
      <c r="D63" s="177"/>
      <c r="E63" s="197"/>
      <c r="F63" s="198"/>
      <c r="G63" s="198"/>
      <c r="H63" s="198"/>
      <c r="I63" s="198"/>
      <c r="J63" s="198"/>
      <c r="K63" s="206"/>
    </row>
    <row r="64" ht="30.75" customHeight="1" spans="1:11">
      <c r="A64" s="196" t="s">
        <v>154</v>
      </c>
      <c r="B64" s="196"/>
      <c r="C64" s="177">
        <v>75</v>
      </c>
      <c r="D64" s="177"/>
      <c r="E64" s="197"/>
      <c r="F64" s="198"/>
      <c r="G64" s="198"/>
      <c r="H64" s="198"/>
      <c r="I64" s="198"/>
      <c r="J64" s="198"/>
      <c r="K64" s="206"/>
    </row>
    <row r="65" ht="30.75" customHeight="1" spans="1:11">
      <c r="A65" s="196" t="s">
        <v>155</v>
      </c>
      <c r="B65" s="196"/>
      <c r="C65" s="177">
        <v>75</v>
      </c>
      <c r="D65" s="177"/>
      <c r="E65" s="196"/>
      <c r="F65" s="196"/>
      <c r="G65" s="196"/>
      <c r="H65" s="196"/>
      <c r="I65" s="196"/>
      <c r="J65" s="196"/>
      <c r="K65" s="196"/>
    </row>
    <row r="66" ht="30" customHeight="1" spans="1:11">
      <c r="A66" s="196" t="s">
        <v>156</v>
      </c>
      <c r="B66" s="196"/>
      <c r="C66" s="177">
        <v>75</v>
      </c>
      <c r="D66" s="199"/>
      <c r="E66" s="200"/>
      <c r="F66" s="201"/>
      <c r="G66" s="201"/>
      <c r="H66" s="201"/>
      <c r="I66" s="201"/>
      <c r="J66" s="201"/>
      <c r="K66" s="207"/>
    </row>
    <row r="67" ht="15.75" spans="1:11">
      <c r="A67" s="1"/>
      <c r="B67" s="1"/>
      <c r="C67" s="1"/>
      <c r="D67" s="1"/>
      <c r="E67" s="1"/>
      <c r="F67" s="1"/>
      <c r="G67" s="1"/>
      <c r="H67" s="1"/>
      <c r="I67" s="1"/>
      <c r="J67" s="1"/>
      <c r="K67" s="1"/>
    </row>
    <row r="68" ht="15.75" spans="1:11">
      <c r="A68" s="1"/>
      <c r="B68" s="1"/>
      <c r="C68" s="1"/>
      <c r="D68" s="1"/>
      <c r="E68" s="1"/>
      <c r="F68" s="1"/>
      <c r="G68" s="1"/>
      <c r="H68" s="1"/>
      <c r="I68" s="1"/>
      <c r="J68" s="1"/>
      <c r="K68" s="1"/>
    </row>
    <row r="69" ht="15.75" customHeight="1" spans="1:11">
      <c r="A69" s="1"/>
      <c r="B69" s="1"/>
      <c r="C69" s="1"/>
      <c r="D69" s="1"/>
      <c r="E69" s="1"/>
      <c r="F69" s="1"/>
      <c r="G69" s="1"/>
      <c r="H69" s="1"/>
      <c r="I69" s="1"/>
      <c r="J69" s="1"/>
      <c r="K69" s="1"/>
    </row>
    <row r="70" ht="15.75" spans="1:11">
      <c r="A70" s="1" t="s">
        <v>137</v>
      </c>
      <c r="B70" s="1"/>
      <c r="C70" s="1"/>
      <c r="D70" s="1"/>
      <c r="E70" s="1"/>
      <c r="F70" s="1"/>
      <c r="G70" s="1"/>
      <c r="H70" s="1"/>
      <c r="I70" s="1" t="s">
        <v>138</v>
      </c>
      <c r="J70" s="1"/>
      <c r="K70" s="1"/>
    </row>
    <row r="71" ht="15.75" spans="1:11">
      <c r="A71" s="1" t="s">
        <v>139</v>
      </c>
      <c r="B71" s="1"/>
      <c r="C71" s="1"/>
      <c r="D71" s="1"/>
      <c r="E71" s="1"/>
      <c r="F71" s="1"/>
      <c r="G71" s="1"/>
      <c r="H71" s="1"/>
      <c r="I71" s="1" t="s">
        <v>140</v>
      </c>
      <c r="J71" s="1"/>
      <c r="K71" s="1"/>
    </row>
    <row r="72" ht="15.75" spans="1:11">
      <c r="A72" s="1"/>
      <c r="B72" s="1"/>
      <c r="C72" s="1"/>
      <c r="D72" s="1"/>
      <c r="E72" s="1"/>
      <c r="F72" s="1"/>
      <c r="G72" s="1"/>
      <c r="H72" s="1"/>
      <c r="I72" s="1"/>
      <c r="J72" s="1"/>
      <c r="K72" s="1"/>
    </row>
    <row r="73" ht="15.75" spans="1:11">
      <c r="A73" s="1"/>
      <c r="B73" s="1"/>
      <c r="C73" s="1"/>
      <c r="D73" s="1"/>
      <c r="E73" s="1"/>
      <c r="F73" s="1"/>
      <c r="G73" s="1"/>
      <c r="H73" s="1"/>
      <c r="I73" s="1"/>
      <c r="J73" s="1"/>
      <c r="K73" s="1"/>
    </row>
    <row r="74" ht="15.75" spans="1:11">
      <c r="A74" s="122" t="str">
        <f>'DATA SISWA'!M10</f>
        <v>EFRI DIAN KUSUMA</v>
      </c>
      <c r="B74" s="1"/>
      <c r="C74" s="1"/>
      <c r="D74" s="1"/>
      <c r="E74" s="1"/>
      <c r="F74" s="1"/>
      <c r="G74" s="1"/>
      <c r="H74" s="1"/>
      <c r="I74" s="53" t="s">
        <v>141</v>
      </c>
      <c r="J74" s="1"/>
      <c r="K74" s="1"/>
    </row>
    <row r="75" ht="15.75" spans="1:11">
      <c r="A75" s="1"/>
      <c r="B75" s="1"/>
      <c r="C75" s="1"/>
      <c r="D75" s="1"/>
      <c r="E75" s="1"/>
      <c r="F75" s="1"/>
      <c r="G75" s="1"/>
      <c r="H75" s="1"/>
      <c r="I75" s="6" t="s">
        <v>143</v>
      </c>
      <c r="J75" s="1"/>
      <c r="K75" s="1"/>
    </row>
    <row r="76" ht="15.75" spans="1:11">
      <c r="A76" s="1"/>
      <c r="B76" s="1"/>
      <c r="C76" s="1"/>
      <c r="D76" s="52" t="s">
        <v>142</v>
      </c>
      <c r="E76" s="52"/>
      <c r="F76" s="52"/>
      <c r="G76" s="1"/>
      <c r="H76" s="1"/>
      <c r="I76" s="1"/>
      <c r="J76" s="1"/>
      <c r="K76" s="1"/>
    </row>
    <row r="77" ht="15.75" spans="1:11">
      <c r="A77" s="1"/>
      <c r="B77" s="1"/>
      <c r="C77" s="1"/>
      <c r="D77" s="1"/>
      <c r="E77" s="1"/>
      <c r="F77" s="1"/>
      <c r="G77" s="1"/>
      <c r="H77" s="1"/>
      <c r="I77" s="1"/>
      <c r="J77" s="1"/>
      <c r="K77" s="1"/>
    </row>
    <row r="78" ht="15.75" spans="1:11">
      <c r="A78" s="1"/>
      <c r="B78" s="1"/>
      <c r="C78" s="1"/>
      <c r="D78" s="1"/>
      <c r="E78" s="1"/>
      <c r="F78" s="1"/>
      <c r="G78" s="1"/>
      <c r="H78" s="1"/>
      <c r="I78" s="1"/>
      <c r="J78" s="1"/>
      <c r="K78" s="1"/>
    </row>
    <row r="79" ht="15.75" spans="1:11">
      <c r="A79" s="1"/>
      <c r="B79" s="1"/>
      <c r="C79" s="1"/>
      <c r="D79" s="54" t="s">
        <v>144</v>
      </c>
      <c r="E79" s="54"/>
      <c r="F79" s="54"/>
      <c r="G79" s="1"/>
      <c r="H79" s="1"/>
      <c r="I79" s="1"/>
      <c r="J79" s="1"/>
      <c r="K79" s="1"/>
    </row>
    <row r="80" ht="15.75" spans="1:11">
      <c r="A80" s="1"/>
      <c r="B80" s="1"/>
      <c r="C80" s="1"/>
      <c r="D80" s="202" t="s">
        <v>145</v>
      </c>
      <c r="E80" s="202"/>
      <c r="F80" s="202"/>
      <c r="G80" s="1"/>
      <c r="H80" s="1"/>
      <c r="I80" s="1"/>
      <c r="J80" s="1"/>
      <c r="K80" s="1"/>
    </row>
    <row r="84" spans="1:11">
      <c r="A84" s="120"/>
      <c r="B84" s="120"/>
      <c r="C84" s="120"/>
      <c r="D84" s="120"/>
      <c r="E84" s="120"/>
      <c r="F84" s="120"/>
      <c r="G84" s="120"/>
      <c r="H84" s="120"/>
      <c r="I84" s="120"/>
      <c r="J84" s="120"/>
      <c r="K84" s="120"/>
    </row>
    <row r="85" spans="1:11">
      <c r="A85" s="120"/>
      <c r="B85" s="120"/>
      <c r="C85" s="120"/>
      <c r="D85" s="120"/>
      <c r="E85" s="120"/>
      <c r="F85" s="120"/>
      <c r="G85" s="120"/>
      <c r="H85" s="120"/>
      <c r="I85" s="120"/>
      <c r="J85" s="120"/>
      <c r="K85" s="120"/>
    </row>
    <row r="86" ht="15.75" spans="1:11">
      <c r="A86" s="120"/>
      <c r="B86" s="187" t="s">
        <v>109</v>
      </c>
      <c r="C86" s="187"/>
      <c r="D86" s="187"/>
      <c r="E86" s="187"/>
      <c r="F86" s="187"/>
      <c r="G86" s="187"/>
      <c r="H86" s="187"/>
      <c r="I86" s="187"/>
      <c r="J86" s="203"/>
      <c r="K86" s="204"/>
    </row>
    <row r="87" ht="15.75" spans="1:11">
      <c r="A87" s="120"/>
      <c r="B87" s="187"/>
      <c r="C87" s="187"/>
      <c r="D87" s="187"/>
      <c r="E87" s="187"/>
      <c r="F87" s="187"/>
      <c r="G87" s="187"/>
      <c r="H87" s="187"/>
      <c r="I87" s="187"/>
      <c r="J87" s="203"/>
      <c r="K87" s="204"/>
    </row>
    <row r="88" ht="15.75" spans="1:11">
      <c r="A88" s="120"/>
      <c r="B88" s="187"/>
      <c r="C88" s="187"/>
      <c r="D88" s="187"/>
      <c r="E88" s="187"/>
      <c r="F88" s="187"/>
      <c r="G88" s="187"/>
      <c r="H88" s="187"/>
      <c r="I88" s="187"/>
      <c r="J88" s="203"/>
      <c r="K88" s="204"/>
    </row>
    <row r="89" ht="16.5" spans="1:11">
      <c r="A89" s="188"/>
      <c r="B89" s="189"/>
      <c r="C89" s="189"/>
      <c r="D89" s="189"/>
      <c r="E89" s="189"/>
      <c r="F89" s="189"/>
      <c r="G89" s="189"/>
      <c r="H89" s="189"/>
      <c r="I89" s="189"/>
      <c r="J89" s="205"/>
      <c r="K89" s="188"/>
    </row>
    <row r="90" ht="15.75" spans="1:11">
      <c r="A90" s="120"/>
      <c r="B90" s="120"/>
      <c r="C90" s="120"/>
      <c r="D90" s="120"/>
      <c r="E90" s="120"/>
      <c r="F90" s="120"/>
      <c r="G90" s="120"/>
      <c r="H90" s="120"/>
      <c r="I90" s="120"/>
      <c r="J90" s="120"/>
      <c r="K90" s="120"/>
    </row>
    <row r="91" ht="15.75" spans="1:11">
      <c r="A91" s="5" t="s">
        <v>110</v>
      </c>
      <c r="B91" s="5"/>
      <c r="C91" s="5"/>
      <c r="D91" s="5"/>
      <c r="E91" s="6" t="s">
        <v>111</v>
      </c>
      <c r="F91" s="6" t="str">
        <f>'DATA SISWA'!B11</f>
        <v>MUHAMAD RISQI</v>
      </c>
      <c r="G91" s="120"/>
      <c r="H91" s="120"/>
      <c r="I91" s="120"/>
      <c r="J91" s="120"/>
      <c r="K91" s="120"/>
    </row>
    <row r="92" ht="15.75" spans="1:11">
      <c r="A92" s="5" t="s">
        <v>112</v>
      </c>
      <c r="B92" s="5"/>
      <c r="C92" s="5"/>
      <c r="D92" s="5"/>
      <c r="E92" s="6" t="s">
        <v>111</v>
      </c>
      <c r="F92" s="6" t="s">
        <v>1</v>
      </c>
      <c r="G92" s="120"/>
      <c r="H92" s="120"/>
      <c r="I92" s="120"/>
      <c r="J92" s="120"/>
      <c r="K92" s="120"/>
    </row>
    <row r="93" ht="15.75" spans="1:11">
      <c r="A93" s="5" t="s">
        <v>113</v>
      </c>
      <c r="B93" s="5"/>
      <c r="C93" s="5"/>
      <c r="D93" s="5"/>
      <c r="E93" s="6" t="s">
        <v>111</v>
      </c>
      <c r="F93" s="6" t="s">
        <v>3</v>
      </c>
      <c r="G93" s="190"/>
      <c r="H93" s="190"/>
      <c r="I93" s="190"/>
      <c r="J93" s="190"/>
      <c r="K93" s="190"/>
    </row>
    <row r="94" ht="15.75" spans="1:11">
      <c r="A94" s="5" t="s">
        <v>114</v>
      </c>
      <c r="B94" s="5"/>
      <c r="C94" s="5"/>
      <c r="D94" s="5"/>
      <c r="E94" s="6" t="s">
        <v>111</v>
      </c>
      <c r="F94" s="6" t="s">
        <v>7</v>
      </c>
      <c r="G94" s="190"/>
      <c r="H94" s="190"/>
      <c r="I94" s="190"/>
      <c r="J94" s="190"/>
      <c r="K94" s="190"/>
    </row>
    <row r="95" ht="15.75" spans="1:11">
      <c r="A95" s="6" t="s">
        <v>146</v>
      </c>
      <c r="B95" s="191"/>
      <c r="C95" s="191"/>
      <c r="D95" s="191"/>
      <c r="E95" s="6" t="s">
        <v>111</v>
      </c>
      <c r="F95" s="6" t="s">
        <v>5</v>
      </c>
      <c r="G95" s="120"/>
      <c r="H95" s="120"/>
      <c r="I95" s="120"/>
      <c r="J95" s="120"/>
      <c r="K95" s="120"/>
    </row>
    <row r="96" spans="1:11">
      <c r="A96" s="120"/>
      <c r="B96" s="120"/>
      <c r="C96" s="120"/>
      <c r="D96" s="120"/>
      <c r="E96" s="120"/>
      <c r="F96" s="120"/>
      <c r="G96" s="120"/>
      <c r="H96" s="120"/>
      <c r="I96" s="120"/>
      <c r="J96" s="120"/>
      <c r="K96" s="120"/>
    </row>
    <row r="97" ht="15.75" spans="1:11">
      <c r="A97" s="6" t="s">
        <v>147</v>
      </c>
      <c r="B97" s="120"/>
      <c r="C97" s="120"/>
      <c r="D97" s="120"/>
      <c r="E97" s="120"/>
      <c r="F97" s="120"/>
      <c r="G97" s="120"/>
      <c r="H97" s="120"/>
      <c r="I97" s="120"/>
      <c r="J97" s="120"/>
      <c r="K97" s="120"/>
    </row>
    <row r="98" ht="15.75" spans="1:11">
      <c r="A98" s="192" t="s">
        <v>148</v>
      </c>
      <c r="B98" s="193"/>
      <c r="C98" s="193" t="s">
        <v>116</v>
      </c>
      <c r="D98" s="194" t="s">
        <v>117</v>
      </c>
      <c r="E98" s="192" t="s">
        <v>119</v>
      </c>
      <c r="F98" s="195"/>
      <c r="G98" s="195"/>
      <c r="H98" s="195"/>
      <c r="I98" s="195"/>
      <c r="J98" s="195"/>
      <c r="K98" s="193"/>
    </row>
    <row r="99" ht="30" customHeight="1" spans="1:11">
      <c r="A99" s="196" t="s">
        <v>149</v>
      </c>
      <c r="B99" s="196"/>
      <c r="C99" s="177">
        <v>75</v>
      </c>
      <c r="D99" s="177">
        <v>100</v>
      </c>
      <c r="E99" s="197"/>
      <c r="F99" s="198"/>
      <c r="G99" s="198"/>
      <c r="H99" s="198"/>
      <c r="I99" s="198"/>
      <c r="J99" s="198"/>
      <c r="K99" s="206"/>
    </row>
    <row r="100" ht="30" customHeight="1" spans="1:11">
      <c r="A100" s="196" t="s">
        <v>150</v>
      </c>
      <c r="B100" s="196"/>
      <c r="C100" s="177">
        <v>75</v>
      </c>
      <c r="D100" s="177">
        <v>100</v>
      </c>
      <c r="E100" s="197"/>
      <c r="F100" s="198"/>
      <c r="G100" s="198"/>
      <c r="H100" s="198"/>
      <c r="I100" s="198"/>
      <c r="J100" s="198"/>
      <c r="K100" s="206"/>
    </row>
    <row r="101" ht="30" customHeight="1" spans="1:11">
      <c r="A101" s="196" t="s">
        <v>151</v>
      </c>
      <c r="B101" s="196"/>
      <c r="C101" s="177">
        <v>75</v>
      </c>
      <c r="D101" s="177">
        <v>73</v>
      </c>
      <c r="E101" s="197"/>
      <c r="F101" s="198"/>
      <c r="G101" s="198"/>
      <c r="H101" s="198"/>
      <c r="I101" s="198"/>
      <c r="J101" s="198"/>
      <c r="K101" s="206"/>
    </row>
    <row r="102" ht="15.75" spans="1:11">
      <c r="A102" s="1"/>
      <c r="B102" s="1"/>
      <c r="C102" s="1"/>
      <c r="D102" s="1"/>
      <c r="E102" s="1"/>
      <c r="F102" s="1"/>
      <c r="G102" s="1"/>
      <c r="H102" s="1"/>
      <c r="I102" s="1"/>
      <c r="J102" s="1"/>
      <c r="K102" s="1"/>
    </row>
    <row r="103" ht="15.75" spans="1:11">
      <c r="A103" s="6" t="s">
        <v>152</v>
      </c>
      <c r="B103" s="1"/>
      <c r="C103" s="1"/>
      <c r="D103" s="1"/>
      <c r="E103" s="1"/>
      <c r="F103" s="1"/>
      <c r="G103" s="1"/>
      <c r="H103" s="1"/>
      <c r="I103" s="1"/>
      <c r="J103" s="1"/>
      <c r="K103" s="1"/>
    </row>
    <row r="104" ht="15.75" spans="1:11">
      <c r="A104" s="192" t="s">
        <v>148</v>
      </c>
      <c r="B104" s="193"/>
      <c r="C104" s="193" t="s">
        <v>116</v>
      </c>
      <c r="D104" s="194" t="s">
        <v>117</v>
      </c>
      <c r="E104" s="192" t="s">
        <v>119</v>
      </c>
      <c r="F104" s="195"/>
      <c r="G104" s="195"/>
      <c r="H104" s="195"/>
      <c r="I104" s="195"/>
      <c r="J104" s="195"/>
      <c r="K104" s="193"/>
    </row>
    <row r="105" ht="30" customHeight="1" spans="1:11">
      <c r="A105" s="196" t="s">
        <v>153</v>
      </c>
      <c r="B105" s="196"/>
      <c r="C105" s="177">
        <v>75</v>
      </c>
      <c r="D105" s="177"/>
      <c r="E105" s="197"/>
      <c r="F105" s="198"/>
      <c r="G105" s="198"/>
      <c r="H105" s="198"/>
      <c r="I105" s="198"/>
      <c r="J105" s="198"/>
      <c r="K105" s="206"/>
    </row>
    <row r="106" ht="30" customHeight="1" spans="1:11">
      <c r="A106" s="196" t="s">
        <v>154</v>
      </c>
      <c r="B106" s="196"/>
      <c r="C106" s="177">
        <v>75</v>
      </c>
      <c r="D106" s="177"/>
      <c r="E106" s="197"/>
      <c r="F106" s="198"/>
      <c r="G106" s="198"/>
      <c r="H106" s="198"/>
      <c r="I106" s="198"/>
      <c r="J106" s="198"/>
      <c r="K106" s="206"/>
    </row>
    <row r="107" ht="30" customHeight="1" spans="1:11">
      <c r="A107" s="196" t="s">
        <v>155</v>
      </c>
      <c r="B107" s="196"/>
      <c r="C107" s="177">
        <v>75</v>
      </c>
      <c r="D107" s="177"/>
      <c r="E107" s="196"/>
      <c r="F107" s="196"/>
      <c r="G107" s="196"/>
      <c r="H107" s="196"/>
      <c r="I107" s="196"/>
      <c r="J107" s="196"/>
      <c r="K107" s="196"/>
    </row>
    <row r="108" ht="30" customHeight="1" spans="1:11">
      <c r="A108" s="196" t="s">
        <v>156</v>
      </c>
      <c r="B108" s="196"/>
      <c r="C108" s="177">
        <v>75</v>
      </c>
      <c r="D108" s="199"/>
      <c r="E108" s="200"/>
      <c r="F108" s="201"/>
      <c r="G108" s="201"/>
      <c r="H108" s="201"/>
      <c r="I108" s="201"/>
      <c r="J108" s="201"/>
      <c r="K108" s="207"/>
    </row>
    <row r="109" ht="15.75" spans="1:11">
      <c r="A109" s="1"/>
      <c r="B109" s="1"/>
      <c r="C109" s="1"/>
      <c r="D109" s="1"/>
      <c r="E109" s="1"/>
      <c r="F109" s="1"/>
      <c r="G109" s="1"/>
      <c r="H109" s="1"/>
      <c r="I109" s="1"/>
      <c r="J109" s="1"/>
      <c r="K109" s="1"/>
    </row>
    <row r="110" ht="15.75" customHeight="1" spans="1:11">
      <c r="A110" s="1"/>
      <c r="B110" s="1"/>
      <c r="C110" s="1"/>
      <c r="D110" s="1"/>
      <c r="E110" s="1"/>
      <c r="F110" s="1"/>
      <c r="G110" s="1"/>
      <c r="H110" s="1"/>
      <c r="I110" s="1"/>
      <c r="J110" s="1"/>
      <c r="K110" s="1"/>
    </row>
    <row r="111" ht="15.75" spans="1:11">
      <c r="A111" s="1" t="s">
        <v>137</v>
      </c>
      <c r="B111" s="1"/>
      <c r="C111" s="1"/>
      <c r="D111" s="1"/>
      <c r="E111" s="1"/>
      <c r="F111" s="1"/>
      <c r="G111" s="1"/>
      <c r="H111" s="1"/>
      <c r="I111" s="1" t="s">
        <v>138</v>
      </c>
      <c r="J111" s="1"/>
      <c r="K111" s="1"/>
    </row>
    <row r="112" ht="15.75" spans="1:11">
      <c r="A112" s="1" t="s">
        <v>139</v>
      </c>
      <c r="B112" s="1"/>
      <c r="C112" s="1"/>
      <c r="D112" s="1"/>
      <c r="E112" s="1"/>
      <c r="F112" s="1"/>
      <c r="G112" s="1"/>
      <c r="H112" s="1"/>
      <c r="I112" s="1" t="s">
        <v>140</v>
      </c>
      <c r="J112" s="1"/>
      <c r="K112" s="1"/>
    </row>
    <row r="113" ht="15.75" spans="1:11">
      <c r="A113" s="1"/>
      <c r="B113" s="1"/>
      <c r="C113" s="1"/>
      <c r="D113" s="1"/>
      <c r="E113" s="1"/>
      <c r="F113" s="1"/>
      <c r="G113" s="1"/>
      <c r="H113" s="1"/>
      <c r="I113" s="1"/>
      <c r="J113" s="1"/>
      <c r="K113" s="1"/>
    </row>
    <row r="114" ht="15.75" spans="1:11">
      <c r="A114" s="1"/>
      <c r="B114" s="1"/>
      <c r="C114" s="1"/>
      <c r="D114" s="1"/>
      <c r="E114" s="1"/>
      <c r="F114" s="1"/>
      <c r="G114" s="1"/>
      <c r="H114" s="1"/>
      <c r="I114" s="1"/>
      <c r="J114" s="1"/>
      <c r="K114" s="1"/>
    </row>
    <row r="115" ht="15.75" spans="1:11">
      <c r="A115" s="122" t="str">
        <f>'DATA SISWA'!M11</f>
        <v>ADI YULIANTO</v>
      </c>
      <c r="B115" s="1"/>
      <c r="C115" s="1"/>
      <c r="D115" s="1"/>
      <c r="E115" s="1"/>
      <c r="F115" s="1"/>
      <c r="G115" s="1"/>
      <c r="H115" s="1"/>
      <c r="I115" s="53" t="s">
        <v>141</v>
      </c>
      <c r="J115" s="1"/>
      <c r="K115" s="1"/>
    </row>
    <row r="116" ht="15.75" spans="1:11">
      <c r="A116" s="1"/>
      <c r="B116" s="1"/>
      <c r="C116" s="1"/>
      <c r="D116" s="1"/>
      <c r="E116" s="1"/>
      <c r="F116" s="1"/>
      <c r="G116" s="1"/>
      <c r="H116" s="1"/>
      <c r="I116" s="6" t="s">
        <v>143</v>
      </c>
      <c r="J116" s="1"/>
      <c r="K116" s="1"/>
    </row>
    <row r="117" ht="15.75" spans="1:11">
      <c r="A117" s="1"/>
      <c r="B117" s="1"/>
      <c r="C117" s="1"/>
      <c r="D117" s="52" t="s">
        <v>142</v>
      </c>
      <c r="E117" s="52"/>
      <c r="F117" s="52"/>
      <c r="G117" s="1"/>
      <c r="H117" s="1"/>
      <c r="I117" s="1"/>
      <c r="J117" s="1"/>
      <c r="K117" s="1"/>
    </row>
    <row r="118" ht="15.75" spans="1:11">
      <c r="A118" s="1"/>
      <c r="B118" s="1"/>
      <c r="C118" s="1"/>
      <c r="D118" s="1"/>
      <c r="E118" s="1"/>
      <c r="F118" s="1"/>
      <c r="G118" s="1"/>
      <c r="H118" s="1"/>
      <c r="I118" s="1"/>
      <c r="J118" s="1"/>
      <c r="K118" s="1"/>
    </row>
    <row r="119" ht="15.75" spans="1:11">
      <c r="A119" s="1"/>
      <c r="B119" s="1"/>
      <c r="C119" s="1"/>
      <c r="D119" s="1"/>
      <c r="E119" s="1"/>
      <c r="F119" s="1"/>
      <c r="G119" s="1"/>
      <c r="H119" s="1"/>
      <c r="I119" s="1"/>
      <c r="J119" s="1"/>
      <c r="K119" s="1"/>
    </row>
    <row r="120" ht="15.75" spans="1:11">
      <c r="A120" s="1"/>
      <c r="B120" s="1"/>
      <c r="C120" s="1"/>
      <c r="D120" s="54" t="s">
        <v>144</v>
      </c>
      <c r="E120" s="54"/>
      <c r="F120" s="54"/>
      <c r="G120" s="1"/>
      <c r="H120" s="1"/>
      <c r="I120" s="1"/>
      <c r="J120" s="1"/>
      <c r="K120" s="1"/>
    </row>
    <row r="121" ht="15.75" spans="1:11">
      <c r="A121" s="1"/>
      <c r="B121" s="1"/>
      <c r="C121" s="1"/>
      <c r="D121" s="202" t="s">
        <v>145</v>
      </c>
      <c r="E121" s="202"/>
      <c r="F121" s="202"/>
      <c r="G121" s="1"/>
      <c r="H121" s="1"/>
      <c r="I121" s="1"/>
      <c r="J121" s="1"/>
      <c r="K121" s="1"/>
    </row>
    <row r="125" spans="1:11">
      <c r="A125" s="120"/>
      <c r="B125" s="120"/>
      <c r="C125" s="120"/>
      <c r="D125" s="120"/>
      <c r="E125" s="120"/>
      <c r="F125" s="120"/>
      <c r="G125" s="120"/>
      <c r="H125" s="120"/>
      <c r="I125" s="120"/>
      <c r="J125" s="120"/>
      <c r="K125" s="120"/>
    </row>
    <row r="126" ht="15.75" spans="1:11">
      <c r="A126" s="120"/>
      <c r="B126" s="187" t="s">
        <v>109</v>
      </c>
      <c r="C126" s="187"/>
      <c r="D126" s="187"/>
      <c r="E126" s="187"/>
      <c r="F126" s="187"/>
      <c r="G126" s="187"/>
      <c r="H126" s="187"/>
      <c r="I126" s="187"/>
      <c r="J126" s="203"/>
      <c r="K126" s="204"/>
    </row>
    <row r="127" ht="15.75" spans="1:11">
      <c r="A127" s="120"/>
      <c r="B127" s="187"/>
      <c r="C127" s="187"/>
      <c r="D127" s="187"/>
      <c r="E127" s="187"/>
      <c r="F127" s="187"/>
      <c r="G127" s="187"/>
      <c r="H127" s="187"/>
      <c r="I127" s="187"/>
      <c r="J127" s="203"/>
      <c r="K127" s="204"/>
    </row>
    <row r="128" ht="15.75" spans="1:11">
      <c r="A128" s="120"/>
      <c r="B128" s="187"/>
      <c r="C128" s="187"/>
      <c r="D128" s="187"/>
      <c r="E128" s="187"/>
      <c r="F128" s="187"/>
      <c r="G128" s="187"/>
      <c r="H128" s="187"/>
      <c r="I128" s="187"/>
      <c r="J128" s="203"/>
      <c r="K128" s="204"/>
    </row>
    <row r="129" ht="16.5" spans="1:11">
      <c r="A129" s="188"/>
      <c r="B129" s="189"/>
      <c r="C129" s="189"/>
      <c r="D129" s="189"/>
      <c r="E129" s="189"/>
      <c r="F129" s="189"/>
      <c r="G129" s="189"/>
      <c r="H129" s="189"/>
      <c r="I129" s="189"/>
      <c r="J129" s="205"/>
      <c r="K129" s="188"/>
    </row>
    <row r="130" ht="15.75" spans="1:11">
      <c r="A130" s="120"/>
      <c r="B130" s="120"/>
      <c r="C130" s="120"/>
      <c r="D130" s="120"/>
      <c r="E130" s="120"/>
      <c r="F130" s="120"/>
      <c r="G130" s="120"/>
      <c r="H130" s="120"/>
      <c r="I130" s="120"/>
      <c r="J130" s="120"/>
      <c r="K130" s="120"/>
    </row>
    <row r="131" ht="15.75" spans="1:11">
      <c r="A131" s="5" t="s">
        <v>110</v>
      </c>
      <c r="B131" s="5"/>
      <c r="C131" s="5"/>
      <c r="D131" s="5"/>
      <c r="E131" s="6" t="s">
        <v>111</v>
      </c>
      <c r="F131" s="6" t="str">
        <f>'DATA SISWA'!B12</f>
        <v>MUHAMMAD IBRAHIM ABDULLAH</v>
      </c>
      <c r="G131" s="120"/>
      <c r="H131" s="120"/>
      <c r="I131" s="120"/>
      <c r="J131" s="120"/>
      <c r="K131" s="120"/>
    </row>
    <row r="132" ht="15.75" spans="1:11">
      <c r="A132" s="5" t="s">
        <v>112</v>
      </c>
      <c r="B132" s="5"/>
      <c r="C132" s="5"/>
      <c r="D132" s="5"/>
      <c r="E132" s="6" t="s">
        <v>111</v>
      </c>
      <c r="F132" s="6" t="s">
        <v>1</v>
      </c>
      <c r="G132" s="120"/>
      <c r="H132" s="120"/>
      <c r="I132" s="120"/>
      <c r="J132" s="120"/>
      <c r="K132" s="120"/>
    </row>
    <row r="133" ht="15.75" spans="1:11">
      <c r="A133" s="5" t="s">
        <v>113</v>
      </c>
      <c r="B133" s="5"/>
      <c r="C133" s="5"/>
      <c r="D133" s="5"/>
      <c r="E133" s="6" t="s">
        <v>111</v>
      </c>
      <c r="F133" s="6" t="s">
        <v>3</v>
      </c>
      <c r="G133" s="190"/>
      <c r="H133" s="190"/>
      <c r="I133" s="190"/>
      <c r="J133" s="190"/>
      <c r="K133" s="190"/>
    </row>
    <row r="134" ht="15.75" spans="1:11">
      <c r="A134" s="5" t="s">
        <v>114</v>
      </c>
      <c r="B134" s="5"/>
      <c r="C134" s="5"/>
      <c r="D134" s="5"/>
      <c r="E134" s="6" t="s">
        <v>111</v>
      </c>
      <c r="F134" s="6" t="s">
        <v>7</v>
      </c>
      <c r="G134" s="190"/>
      <c r="H134" s="190"/>
      <c r="I134" s="190"/>
      <c r="J134" s="190"/>
      <c r="K134" s="190"/>
    </row>
    <row r="135" ht="15.75" spans="1:11">
      <c r="A135" s="6" t="s">
        <v>146</v>
      </c>
      <c r="B135" s="191"/>
      <c r="C135" s="191"/>
      <c r="D135" s="191"/>
      <c r="E135" s="6" t="s">
        <v>111</v>
      </c>
      <c r="F135" s="6" t="s">
        <v>5</v>
      </c>
      <c r="G135" s="120"/>
      <c r="H135" s="120"/>
      <c r="I135" s="120"/>
      <c r="J135" s="120"/>
      <c r="K135" s="120"/>
    </row>
    <row r="136" spans="1:11">
      <c r="A136" s="120"/>
      <c r="B136" s="120"/>
      <c r="C136" s="120"/>
      <c r="D136" s="120"/>
      <c r="E136" s="120"/>
      <c r="F136" s="120"/>
      <c r="G136" s="120"/>
      <c r="H136" s="120"/>
      <c r="I136" s="120"/>
      <c r="J136" s="120"/>
      <c r="K136" s="120"/>
    </row>
    <row r="137" ht="15.75" spans="1:11">
      <c r="A137" s="6" t="s">
        <v>147</v>
      </c>
      <c r="B137" s="120"/>
      <c r="C137" s="120"/>
      <c r="D137" s="120"/>
      <c r="E137" s="120"/>
      <c r="F137" s="120"/>
      <c r="G137" s="120"/>
      <c r="H137" s="120"/>
      <c r="I137" s="120"/>
      <c r="J137" s="120"/>
      <c r="K137" s="120"/>
    </row>
    <row r="138" ht="15.75" spans="1:11">
      <c r="A138" s="192" t="s">
        <v>148</v>
      </c>
      <c r="B138" s="193"/>
      <c r="C138" s="193" t="s">
        <v>116</v>
      </c>
      <c r="D138" s="194" t="s">
        <v>117</v>
      </c>
      <c r="E138" s="192" t="s">
        <v>119</v>
      </c>
      <c r="F138" s="195"/>
      <c r="G138" s="195"/>
      <c r="H138" s="195"/>
      <c r="I138" s="195"/>
      <c r="J138" s="195"/>
      <c r="K138" s="193"/>
    </row>
    <row r="139" ht="30" customHeight="1" spans="1:11">
      <c r="A139" s="196" t="s">
        <v>149</v>
      </c>
      <c r="B139" s="196"/>
      <c r="C139" s="177">
        <v>75</v>
      </c>
      <c r="D139" s="177">
        <v>100</v>
      </c>
      <c r="E139" s="197"/>
      <c r="F139" s="198"/>
      <c r="G139" s="198"/>
      <c r="H139" s="198"/>
      <c r="I139" s="198"/>
      <c r="J139" s="198"/>
      <c r="K139" s="206"/>
    </row>
    <row r="140" ht="30" customHeight="1" spans="1:11">
      <c r="A140" s="196" t="s">
        <v>150</v>
      </c>
      <c r="B140" s="196"/>
      <c r="C140" s="177">
        <v>75</v>
      </c>
      <c r="D140" s="177">
        <v>100</v>
      </c>
      <c r="E140" s="197"/>
      <c r="F140" s="198"/>
      <c r="G140" s="198"/>
      <c r="H140" s="198"/>
      <c r="I140" s="198"/>
      <c r="J140" s="198"/>
      <c r="K140" s="206"/>
    </row>
    <row r="141" ht="30" customHeight="1" spans="1:11">
      <c r="A141" s="196" t="s">
        <v>151</v>
      </c>
      <c r="B141" s="196"/>
      <c r="C141" s="177">
        <v>75</v>
      </c>
      <c r="D141" s="177">
        <v>92</v>
      </c>
      <c r="E141" s="197"/>
      <c r="F141" s="198"/>
      <c r="G141" s="198"/>
      <c r="H141" s="198"/>
      <c r="I141" s="198"/>
      <c r="J141" s="198"/>
      <c r="K141" s="206"/>
    </row>
    <row r="142" ht="15.75" spans="1:11">
      <c r="A142" s="1"/>
      <c r="B142" s="1"/>
      <c r="C142" s="1"/>
      <c r="D142" s="1"/>
      <c r="E142" s="1"/>
      <c r="F142" s="1"/>
      <c r="G142" s="1"/>
      <c r="H142" s="1"/>
      <c r="I142" s="1"/>
      <c r="J142" s="1"/>
      <c r="K142" s="1"/>
    </row>
    <row r="143" ht="15.75" spans="1:11">
      <c r="A143" s="6" t="s">
        <v>152</v>
      </c>
      <c r="B143" s="1"/>
      <c r="C143" s="1"/>
      <c r="D143" s="1"/>
      <c r="E143" s="1"/>
      <c r="F143" s="1"/>
      <c r="G143" s="1"/>
      <c r="H143" s="1"/>
      <c r="I143" s="1"/>
      <c r="J143" s="1"/>
      <c r="K143" s="1"/>
    </row>
    <row r="144" ht="15.75" spans="1:11">
      <c r="A144" s="192" t="s">
        <v>148</v>
      </c>
      <c r="B144" s="193"/>
      <c r="C144" s="193" t="s">
        <v>116</v>
      </c>
      <c r="D144" s="194" t="s">
        <v>117</v>
      </c>
      <c r="E144" s="192" t="s">
        <v>119</v>
      </c>
      <c r="F144" s="195"/>
      <c r="G144" s="195"/>
      <c r="H144" s="195"/>
      <c r="I144" s="195"/>
      <c r="J144" s="195"/>
      <c r="K144" s="193"/>
    </row>
    <row r="145" ht="30" customHeight="1" spans="1:11">
      <c r="A145" s="196" t="s">
        <v>153</v>
      </c>
      <c r="B145" s="196"/>
      <c r="C145" s="177">
        <v>75</v>
      </c>
      <c r="D145" s="177"/>
      <c r="E145" s="197"/>
      <c r="F145" s="198"/>
      <c r="G145" s="198"/>
      <c r="H145" s="198"/>
      <c r="I145" s="198"/>
      <c r="J145" s="198"/>
      <c r="K145" s="206"/>
    </row>
    <row r="146" ht="30" customHeight="1" spans="1:11">
      <c r="A146" s="196" t="s">
        <v>154</v>
      </c>
      <c r="B146" s="196"/>
      <c r="C146" s="177">
        <v>75</v>
      </c>
      <c r="D146" s="177"/>
      <c r="E146" s="197"/>
      <c r="F146" s="198"/>
      <c r="G146" s="198"/>
      <c r="H146" s="198"/>
      <c r="I146" s="198"/>
      <c r="J146" s="198"/>
      <c r="K146" s="206"/>
    </row>
    <row r="147" ht="30" customHeight="1" spans="1:11">
      <c r="A147" s="196" t="s">
        <v>155</v>
      </c>
      <c r="B147" s="196"/>
      <c r="C147" s="177">
        <v>75</v>
      </c>
      <c r="D147" s="177"/>
      <c r="E147" s="196"/>
      <c r="F147" s="196"/>
      <c r="G147" s="196"/>
      <c r="H147" s="196"/>
      <c r="I147" s="196"/>
      <c r="J147" s="196"/>
      <c r="K147" s="196"/>
    </row>
    <row r="148" ht="30" customHeight="1" spans="1:11">
      <c r="A148" s="196" t="s">
        <v>156</v>
      </c>
      <c r="B148" s="196"/>
      <c r="C148" s="177">
        <v>75</v>
      </c>
      <c r="D148" s="199"/>
      <c r="E148" s="200"/>
      <c r="F148" s="201"/>
      <c r="G148" s="201"/>
      <c r="H148" s="201"/>
      <c r="I148" s="201"/>
      <c r="J148" s="201"/>
      <c r="K148" s="207"/>
    </row>
    <row r="149" ht="15.75" spans="1:11">
      <c r="A149" s="1"/>
      <c r="B149" s="1"/>
      <c r="C149" s="1"/>
      <c r="D149" s="1"/>
      <c r="E149" s="1"/>
      <c r="F149" s="1"/>
      <c r="G149" s="1"/>
      <c r="H149" s="1"/>
      <c r="I149" s="1"/>
      <c r="J149" s="1"/>
      <c r="K149" s="1"/>
    </row>
    <row r="150" customHeight="1" spans="1:11">
      <c r="A150" s="1"/>
      <c r="B150" s="1"/>
      <c r="C150" s="1"/>
      <c r="D150" s="1"/>
      <c r="E150" s="1"/>
      <c r="F150" s="1"/>
      <c r="G150" s="1"/>
      <c r="H150" s="1"/>
      <c r="I150" s="1"/>
      <c r="J150" s="1"/>
      <c r="K150" s="1"/>
    </row>
    <row r="151" ht="15.75" spans="1:11">
      <c r="A151" s="1" t="s">
        <v>137</v>
      </c>
      <c r="B151" s="1"/>
      <c r="C151" s="1"/>
      <c r="D151" s="1"/>
      <c r="E151" s="1"/>
      <c r="F151" s="1"/>
      <c r="G151" s="1"/>
      <c r="H151" s="1"/>
      <c r="I151" s="1" t="s">
        <v>138</v>
      </c>
      <c r="J151" s="1"/>
      <c r="K151" s="1"/>
    </row>
    <row r="152" ht="15.75" spans="1:11">
      <c r="A152" s="1" t="s">
        <v>139</v>
      </c>
      <c r="B152" s="1"/>
      <c r="C152" s="1"/>
      <c r="D152" s="1"/>
      <c r="E152" s="1"/>
      <c r="F152" s="1"/>
      <c r="G152" s="1"/>
      <c r="H152" s="1"/>
      <c r="I152" s="1" t="s">
        <v>140</v>
      </c>
      <c r="J152" s="1"/>
      <c r="K152" s="1"/>
    </row>
    <row r="153" ht="15.75" spans="1:11">
      <c r="A153" s="1"/>
      <c r="B153" s="1"/>
      <c r="C153" s="1"/>
      <c r="D153" s="1"/>
      <c r="E153" s="1"/>
      <c r="F153" s="1"/>
      <c r="G153" s="1"/>
      <c r="H153" s="1"/>
      <c r="I153" s="1"/>
      <c r="J153" s="1"/>
      <c r="K153" s="1"/>
    </row>
    <row r="154" ht="15.75" spans="1:11">
      <c r="A154" s="1"/>
      <c r="B154" s="1"/>
      <c r="C154" s="1"/>
      <c r="D154" s="1"/>
      <c r="E154" s="1"/>
      <c r="F154" s="1"/>
      <c r="G154" s="1"/>
      <c r="H154" s="1"/>
      <c r="I154" s="1"/>
      <c r="J154" s="1"/>
      <c r="K154" s="1"/>
    </row>
    <row r="155" ht="15.75" spans="1:11">
      <c r="A155" s="122" t="str">
        <f>'DATA SISWA'!M12</f>
        <v>FIRDAUS</v>
      </c>
      <c r="B155" s="1"/>
      <c r="C155" s="1"/>
      <c r="D155" s="1"/>
      <c r="E155" s="1"/>
      <c r="F155" s="1"/>
      <c r="G155" s="1"/>
      <c r="H155" s="1"/>
      <c r="I155" s="53" t="s">
        <v>141</v>
      </c>
      <c r="J155" s="1"/>
      <c r="K155" s="1"/>
    </row>
    <row r="156" ht="15.75" spans="1:11">
      <c r="A156" s="1"/>
      <c r="B156" s="1"/>
      <c r="C156" s="1"/>
      <c r="D156" s="1"/>
      <c r="E156" s="1"/>
      <c r="F156" s="1"/>
      <c r="G156" s="1"/>
      <c r="H156" s="1"/>
      <c r="I156" s="6" t="s">
        <v>143</v>
      </c>
      <c r="J156" s="1"/>
      <c r="K156" s="1"/>
    </row>
    <row r="157" ht="15.75" spans="1:11">
      <c r="A157" s="1"/>
      <c r="B157" s="1"/>
      <c r="C157" s="1"/>
      <c r="D157" s="52" t="s">
        <v>142</v>
      </c>
      <c r="E157" s="52"/>
      <c r="F157" s="52"/>
      <c r="G157" s="1"/>
      <c r="H157" s="1"/>
      <c r="I157" s="1"/>
      <c r="J157" s="1"/>
      <c r="K157" s="1"/>
    </row>
    <row r="158" ht="15.75" spans="1:11">
      <c r="A158" s="1"/>
      <c r="B158" s="1"/>
      <c r="C158" s="1"/>
      <c r="D158" s="1"/>
      <c r="E158" s="1"/>
      <c r="F158" s="1"/>
      <c r="G158" s="1"/>
      <c r="H158" s="1"/>
      <c r="I158" s="1"/>
      <c r="J158" s="1"/>
      <c r="K158" s="1"/>
    </row>
    <row r="159" ht="15.75" spans="1:11">
      <c r="A159" s="1"/>
      <c r="B159" s="1"/>
      <c r="C159" s="1"/>
      <c r="D159" s="1"/>
      <c r="E159" s="1"/>
      <c r="F159" s="1"/>
      <c r="G159" s="1"/>
      <c r="H159" s="1"/>
      <c r="I159" s="1"/>
      <c r="J159" s="1"/>
      <c r="K159" s="1"/>
    </row>
    <row r="160" ht="15.75" spans="1:11">
      <c r="A160" s="1"/>
      <c r="B160" s="1"/>
      <c r="C160" s="1"/>
      <c r="D160" s="54" t="s">
        <v>144</v>
      </c>
      <c r="E160" s="54"/>
      <c r="F160" s="54"/>
      <c r="G160" s="1"/>
      <c r="H160" s="1"/>
      <c r="I160" s="1"/>
      <c r="J160" s="1"/>
      <c r="K160" s="1"/>
    </row>
    <row r="161" ht="15.75" spans="1:11">
      <c r="A161" s="1"/>
      <c r="B161" s="1"/>
      <c r="C161" s="1"/>
      <c r="D161" s="202" t="s">
        <v>145</v>
      </c>
      <c r="E161" s="202"/>
      <c r="F161" s="202"/>
      <c r="G161" s="1"/>
      <c r="H161" s="1"/>
      <c r="I161" s="1"/>
      <c r="J161" s="1"/>
      <c r="K161" s="1"/>
    </row>
    <row r="165" spans="1:11">
      <c r="A165" s="120"/>
      <c r="B165" s="120"/>
      <c r="C165" s="120"/>
      <c r="D165" s="120"/>
      <c r="E165" s="120"/>
      <c r="F165" s="120"/>
      <c r="G165" s="120"/>
      <c r="H165" s="120"/>
      <c r="I165" s="120"/>
      <c r="J165" s="120"/>
      <c r="K165" s="120"/>
    </row>
    <row r="166" ht="15.75" spans="1:11">
      <c r="A166" s="120"/>
      <c r="B166" s="187" t="s">
        <v>109</v>
      </c>
      <c r="C166" s="187"/>
      <c r="D166" s="187"/>
      <c r="E166" s="187"/>
      <c r="F166" s="187"/>
      <c r="G166" s="187"/>
      <c r="H166" s="187"/>
      <c r="I166" s="187"/>
      <c r="J166" s="203"/>
      <c r="K166" s="204"/>
    </row>
    <row r="167" ht="15.75" spans="1:11">
      <c r="A167" s="120"/>
      <c r="B167" s="187"/>
      <c r="C167" s="187"/>
      <c r="D167" s="187"/>
      <c r="E167" s="187"/>
      <c r="F167" s="187"/>
      <c r="G167" s="187"/>
      <c r="H167" s="187"/>
      <c r="I167" s="187"/>
      <c r="J167" s="203"/>
      <c r="K167" s="204"/>
    </row>
    <row r="168" ht="15.75" spans="1:11">
      <c r="A168" s="120"/>
      <c r="B168" s="187"/>
      <c r="C168" s="187"/>
      <c r="D168" s="187"/>
      <c r="E168" s="187"/>
      <c r="F168" s="187"/>
      <c r="G168" s="187"/>
      <c r="H168" s="187"/>
      <c r="I168" s="187"/>
      <c r="J168" s="203"/>
      <c r="K168" s="204"/>
    </row>
    <row r="169" ht="16.5" spans="1:11">
      <c r="A169" s="188"/>
      <c r="B169" s="189"/>
      <c r="C169" s="189"/>
      <c r="D169" s="189"/>
      <c r="E169" s="189"/>
      <c r="F169" s="189"/>
      <c r="G169" s="189"/>
      <c r="H169" s="189"/>
      <c r="I169" s="189"/>
      <c r="J169" s="205"/>
      <c r="K169" s="188"/>
    </row>
    <row r="170" ht="15.75" spans="1:11">
      <c r="A170" s="120"/>
      <c r="B170" s="120"/>
      <c r="C170" s="120"/>
      <c r="D170" s="120"/>
      <c r="E170" s="120"/>
      <c r="F170" s="120"/>
      <c r="G170" s="120"/>
      <c r="H170" s="120"/>
      <c r="I170" s="120"/>
      <c r="J170" s="120"/>
      <c r="K170" s="120"/>
    </row>
    <row r="171" ht="15.75" spans="1:11">
      <c r="A171" s="5" t="s">
        <v>110</v>
      </c>
      <c r="B171" s="5"/>
      <c r="C171" s="5"/>
      <c r="D171" s="5"/>
      <c r="E171" s="6" t="s">
        <v>111</v>
      </c>
      <c r="F171" s="6" t="str">
        <f>'DATA SISWA'!B13</f>
        <v>MUHAMMAD UWAIS AL QORNI ANDIEGA</v>
      </c>
      <c r="G171" s="120"/>
      <c r="H171" s="120"/>
      <c r="I171" s="120"/>
      <c r="J171" s="120"/>
      <c r="K171" s="120"/>
    </row>
    <row r="172" ht="15.75" spans="1:11">
      <c r="A172" s="5" t="s">
        <v>112</v>
      </c>
      <c r="B172" s="5"/>
      <c r="C172" s="5"/>
      <c r="D172" s="5"/>
      <c r="E172" s="6" t="s">
        <v>111</v>
      </c>
      <c r="F172" s="6" t="s">
        <v>1</v>
      </c>
      <c r="G172" s="120"/>
      <c r="H172" s="120"/>
      <c r="I172" s="120"/>
      <c r="J172" s="120"/>
      <c r="K172" s="120"/>
    </row>
    <row r="173" ht="15.75" spans="1:11">
      <c r="A173" s="5" t="s">
        <v>113</v>
      </c>
      <c r="B173" s="5"/>
      <c r="C173" s="5"/>
      <c r="D173" s="5"/>
      <c r="E173" s="6" t="s">
        <v>111</v>
      </c>
      <c r="F173" s="6" t="s">
        <v>3</v>
      </c>
      <c r="G173" s="190"/>
      <c r="H173" s="190"/>
      <c r="I173" s="190"/>
      <c r="J173" s="190"/>
      <c r="K173" s="190"/>
    </row>
    <row r="174" ht="15.75" spans="1:11">
      <c r="A174" s="5" t="s">
        <v>114</v>
      </c>
      <c r="B174" s="5"/>
      <c r="C174" s="5"/>
      <c r="D174" s="5"/>
      <c r="E174" s="6" t="s">
        <v>111</v>
      </c>
      <c r="F174" s="6" t="s">
        <v>7</v>
      </c>
      <c r="G174" s="190"/>
      <c r="H174" s="190"/>
      <c r="I174" s="190"/>
      <c r="J174" s="190"/>
      <c r="K174" s="190"/>
    </row>
    <row r="175" ht="15.75" spans="1:11">
      <c r="A175" s="6" t="s">
        <v>146</v>
      </c>
      <c r="B175" s="191"/>
      <c r="C175" s="191"/>
      <c r="D175" s="191"/>
      <c r="E175" s="6" t="s">
        <v>111</v>
      </c>
      <c r="F175" s="6" t="s">
        <v>5</v>
      </c>
      <c r="G175" s="120"/>
      <c r="H175" s="120"/>
      <c r="I175" s="120"/>
      <c r="J175" s="120"/>
      <c r="K175" s="120"/>
    </row>
    <row r="176" spans="1:11">
      <c r="A176" s="120"/>
      <c r="B176" s="120"/>
      <c r="C176" s="120"/>
      <c r="D176" s="120"/>
      <c r="E176" s="120"/>
      <c r="F176" s="120"/>
      <c r="G176" s="120"/>
      <c r="H176" s="120"/>
      <c r="I176" s="120"/>
      <c r="J176" s="120"/>
      <c r="K176" s="120"/>
    </row>
    <row r="177" ht="15.75" spans="1:11">
      <c r="A177" s="6" t="s">
        <v>147</v>
      </c>
      <c r="B177" s="120"/>
      <c r="C177" s="120"/>
      <c r="D177" s="120"/>
      <c r="E177" s="120"/>
      <c r="F177" s="120"/>
      <c r="G177" s="120"/>
      <c r="H177" s="120"/>
      <c r="I177" s="120"/>
      <c r="J177" s="120"/>
      <c r="K177" s="120"/>
    </row>
    <row r="178" ht="15.75" spans="1:11">
      <c r="A178" s="192" t="s">
        <v>148</v>
      </c>
      <c r="B178" s="193"/>
      <c r="C178" s="193" t="s">
        <v>116</v>
      </c>
      <c r="D178" s="194" t="s">
        <v>117</v>
      </c>
      <c r="E178" s="192" t="s">
        <v>119</v>
      </c>
      <c r="F178" s="195"/>
      <c r="G178" s="195"/>
      <c r="H178" s="195"/>
      <c r="I178" s="195"/>
      <c r="J178" s="195"/>
      <c r="K178" s="193"/>
    </row>
    <row r="179" ht="30" customHeight="1" spans="1:11">
      <c r="A179" s="196" t="s">
        <v>149</v>
      </c>
      <c r="B179" s="196"/>
      <c r="C179" s="177">
        <v>75</v>
      </c>
      <c r="D179" s="177">
        <v>85</v>
      </c>
      <c r="E179" s="197"/>
      <c r="F179" s="198"/>
      <c r="G179" s="198"/>
      <c r="H179" s="198"/>
      <c r="I179" s="198"/>
      <c r="J179" s="198"/>
      <c r="K179" s="206"/>
    </row>
    <row r="180" ht="30" customHeight="1" spans="1:11">
      <c r="A180" s="196" t="s">
        <v>150</v>
      </c>
      <c r="B180" s="196"/>
      <c r="C180" s="177">
        <v>75</v>
      </c>
      <c r="D180" s="177">
        <v>100</v>
      </c>
      <c r="E180" s="197"/>
      <c r="F180" s="198"/>
      <c r="G180" s="198"/>
      <c r="H180" s="198"/>
      <c r="I180" s="198"/>
      <c r="J180" s="198"/>
      <c r="K180" s="206"/>
    </row>
    <row r="181" ht="30" customHeight="1" spans="1:11">
      <c r="A181" s="196" t="s">
        <v>151</v>
      </c>
      <c r="B181" s="196"/>
      <c r="C181" s="177">
        <v>75</v>
      </c>
      <c r="D181" s="177">
        <v>95</v>
      </c>
      <c r="E181" s="197"/>
      <c r="F181" s="198"/>
      <c r="G181" s="198"/>
      <c r="H181" s="198"/>
      <c r="I181" s="198"/>
      <c r="J181" s="198"/>
      <c r="K181" s="206"/>
    </row>
    <row r="182" ht="15.75" spans="1:11">
      <c r="A182" s="1"/>
      <c r="B182" s="1"/>
      <c r="C182" s="1"/>
      <c r="D182" s="1"/>
      <c r="E182" s="1"/>
      <c r="F182" s="1"/>
      <c r="G182" s="1"/>
      <c r="H182" s="1"/>
      <c r="I182" s="1"/>
      <c r="J182" s="1"/>
      <c r="K182" s="1"/>
    </row>
    <row r="183" ht="15.75" spans="1:11">
      <c r="A183" s="6" t="s">
        <v>152</v>
      </c>
      <c r="B183" s="1"/>
      <c r="C183" s="1"/>
      <c r="D183" s="1"/>
      <c r="E183" s="1"/>
      <c r="F183" s="1"/>
      <c r="G183" s="1"/>
      <c r="H183" s="1"/>
      <c r="I183" s="1"/>
      <c r="J183" s="1"/>
      <c r="K183" s="1"/>
    </row>
    <row r="184" ht="15.75" spans="1:11">
      <c r="A184" s="192" t="s">
        <v>148</v>
      </c>
      <c r="B184" s="193"/>
      <c r="C184" s="193" t="s">
        <v>116</v>
      </c>
      <c r="D184" s="194" t="s">
        <v>117</v>
      </c>
      <c r="E184" s="192" t="s">
        <v>119</v>
      </c>
      <c r="F184" s="195"/>
      <c r="G184" s="195"/>
      <c r="H184" s="195"/>
      <c r="I184" s="195"/>
      <c r="J184" s="195"/>
      <c r="K184" s="193"/>
    </row>
    <row r="185" ht="30" customHeight="1" spans="1:11">
      <c r="A185" s="196" t="s">
        <v>153</v>
      </c>
      <c r="B185" s="196"/>
      <c r="C185" s="177">
        <v>75</v>
      </c>
      <c r="D185" s="177"/>
      <c r="E185" s="197"/>
      <c r="F185" s="198"/>
      <c r="G185" s="198"/>
      <c r="H185" s="198"/>
      <c r="I185" s="198"/>
      <c r="J185" s="198"/>
      <c r="K185" s="206"/>
    </row>
    <row r="186" ht="30" customHeight="1" spans="1:11">
      <c r="A186" s="196" t="s">
        <v>154</v>
      </c>
      <c r="B186" s="196"/>
      <c r="C186" s="177">
        <v>75</v>
      </c>
      <c r="D186" s="177"/>
      <c r="E186" s="197"/>
      <c r="F186" s="198"/>
      <c r="G186" s="198"/>
      <c r="H186" s="198"/>
      <c r="I186" s="198"/>
      <c r="J186" s="198"/>
      <c r="K186" s="206"/>
    </row>
    <row r="187" ht="30" customHeight="1" spans="1:11">
      <c r="A187" s="196" t="s">
        <v>155</v>
      </c>
      <c r="B187" s="196"/>
      <c r="C187" s="177">
        <v>75</v>
      </c>
      <c r="D187" s="177"/>
      <c r="E187" s="196"/>
      <c r="F187" s="196"/>
      <c r="G187" s="196"/>
      <c r="H187" s="196"/>
      <c r="I187" s="196"/>
      <c r="J187" s="196"/>
      <c r="K187" s="196"/>
    </row>
    <row r="188" ht="30" customHeight="1" spans="1:11">
      <c r="A188" s="196" t="s">
        <v>156</v>
      </c>
      <c r="B188" s="196"/>
      <c r="C188" s="177">
        <v>75</v>
      </c>
      <c r="D188" s="199"/>
      <c r="E188" s="200"/>
      <c r="F188" s="201"/>
      <c r="G188" s="201"/>
      <c r="H188" s="201"/>
      <c r="I188" s="201"/>
      <c r="J188" s="201"/>
      <c r="K188" s="207"/>
    </row>
    <row r="189" ht="15.75" spans="1:11">
      <c r="A189" s="1"/>
      <c r="B189" s="1"/>
      <c r="C189" s="1"/>
      <c r="D189" s="1"/>
      <c r="E189" s="1"/>
      <c r="F189" s="1"/>
      <c r="G189" s="1"/>
      <c r="H189" s="1"/>
      <c r="I189" s="1"/>
      <c r="J189" s="1"/>
      <c r="K189" s="1"/>
    </row>
    <row r="190" customHeight="1" spans="1:11">
      <c r="A190" s="1"/>
      <c r="B190" s="1"/>
      <c r="C190" s="1"/>
      <c r="D190" s="1"/>
      <c r="E190" s="1"/>
      <c r="F190" s="1"/>
      <c r="G190" s="1"/>
      <c r="H190" s="1"/>
      <c r="I190" s="1"/>
      <c r="J190" s="1"/>
      <c r="K190" s="1"/>
    </row>
    <row r="191" ht="15.75" spans="1:11">
      <c r="A191" s="1" t="s">
        <v>137</v>
      </c>
      <c r="B191" s="1"/>
      <c r="C191" s="1"/>
      <c r="D191" s="1"/>
      <c r="E191" s="1"/>
      <c r="F191" s="1"/>
      <c r="G191" s="1"/>
      <c r="H191" s="1"/>
      <c r="I191" s="1" t="s">
        <v>138</v>
      </c>
      <c r="J191" s="1"/>
      <c r="K191" s="1"/>
    </row>
    <row r="192" ht="15.75" spans="1:11">
      <c r="A192" s="1" t="s">
        <v>139</v>
      </c>
      <c r="B192" s="1"/>
      <c r="C192" s="1"/>
      <c r="D192" s="1"/>
      <c r="E192" s="1"/>
      <c r="F192" s="1"/>
      <c r="G192" s="1"/>
      <c r="H192" s="1"/>
      <c r="I192" s="1" t="s">
        <v>140</v>
      </c>
      <c r="J192" s="1"/>
      <c r="K192" s="1"/>
    </row>
    <row r="193" ht="15.75" spans="1:11">
      <c r="A193" s="1"/>
      <c r="B193" s="1"/>
      <c r="C193" s="1"/>
      <c r="D193" s="1"/>
      <c r="E193" s="1"/>
      <c r="F193" s="1"/>
      <c r="G193" s="1"/>
      <c r="H193" s="1"/>
      <c r="I193" s="1"/>
      <c r="J193" s="1"/>
      <c r="K193" s="1"/>
    </row>
    <row r="194" ht="15.75" spans="1:11">
      <c r="A194" s="1"/>
      <c r="B194" s="1"/>
      <c r="C194" s="1"/>
      <c r="D194" s="1"/>
      <c r="E194" s="1"/>
      <c r="F194" s="1"/>
      <c r="G194" s="1"/>
      <c r="H194" s="1"/>
      <c r="I194" s="1"/>
      <c r="J194" s="1"/>
      <c r="K194" s="1"/>
    </row>
    <row r="195" ht="15.75" spans="1:11">
      <c r="A195" s="122" t="str">
        <f>'DATA SISWA'!M13</f>
        <v>ANDI SAPUTRA</v>
      </c>
      <c r="B195" s="1"/>
      <c r="C195" s="1"/>
      <c r="D195" s="1"/>
      <c r="E195" s="1"/>
      <c r="F195" s="1"/>
      <c r="G195" s="1"/>
      <c r="H195" s="1"/>
      <c r="I195" s="53" t="s">
        <v>141</v>
      </c>
      <c r="J195" s="1"/>
      <c r="K195" s="1"/>
    </row>
    <row r="196" ht="15.75" spans="1:11">
      <c r="A196" s="1"/>
      <c r="B196" s="1"/>
      <c r="C196" s="1"/>
      <c r="D196" s="1"/>
      <c r="E196" s="1"/>
      <c r="F196" s="1"/>
      <c r="G196" s="1"/>
      <c r="H196" s="1"/>
      <c r="I196" s="6" t="s">
        <v>143</v>
      </c>
      <c r="J196" s="1"/>
      <c r="K196" s="1"/>
    </row>
    <row r="197" ht="15.75" spans="1:11">
      <c r="A197" s="1"/>
      <c r="B197" s="1"/>
      <c r="C197" s="1"/>
      <c r="D197" s="52" t="s">
        <v>142</v>
      </c>
      <c r="E197" s="52"/>
      <c r="F197" s="52"/>
      <c r="G197" s="1"/>
      <c r="H197" s="1"/>
      <c r="I197" s="1"/>
      <c r="J197" s="1"/>
      <c r="K197" s="1"/>
    </row>
    <row r="198" ht="15.75" spans="1:11">
      <c r="A198" s="1"/>
      <c r="B198" s="1"/>
      <c r="C198" s="1"/>
      <c r="D198" s="1"/>
      <c r="E198" s="1"/>
      <c r="F198" s="1"/>
      <c r="G198" s="1"/>
      <c r="H198" s="1"/>
      <c r="I198" s="1"/>
      <c r="J198" s="1"/>
      <c r="K198" s="1"/>
    </row>
    <row r="199" ht="15.75" spans="1:11">
      <c r="A199" s="1"/>
      <c r="B199" s="1"/>
      <c r="C199" s="1"/>
      <c r="D199" s="1"/>
      <c r="E199" s="1"/>
      <c r="F199" s="1"/>
      <c r="G199" s="1"/>
      <c r="H199" s="1"/>
      <c r="I199" s="1"/>
      <c r="J199" s="1"/>
      <c r="K199" s="1"/>
    </row>
    <row r="200" ht="15.75" spans="1:11">
      <c r="A200" s="1"/>
      <c r="B200" s="1"/>
      <c r="C200" s="1"/>
      <c r="D200" s="54" t="s">
        <v>144</v>
      </c>
      <c r="E200" s="54"/>
      <c r="F200" s="54"/>
      <c r="G200" s="1"/>
      <c r="H200" s="1"/>
      <c r="I200" s="1"/>
      <c r="J200" s="1"/>
      <c r="K200" s="1"/>
    </row>
    <row r="201" ht="15.75" spans="1:11">
      <c r="A201" s="1"/>
      <c r="B201" s="1"/>
      <c r="C201" s="1"/>
      <c r="D201" s="202" t="s">
        <v>145</v>
      </c>
      <c r="E201" s="202"/>
      <c r="F201" s="202"/>
      <c r="G201" s="1"/>
      <c r="H201" s="1"/>
      <c r="I201" s="1"/>
      <c r="J201" s="1"/>
      <c r="K201" s="1"/>
    </row>
    <row r="205" spans="1:11">
      <c r="A205" s="120"/>
      <c r="B205" s="120"/>
      <c r="C205" s="120"/>
      <c r="D205" s="120"/>
      <c r="E205" s="120"/>
      <c r="F205" s="120"/>
      <c r="G205" s="120"/>
      <c r="H205" s="120"/>
      <c r="I205" s="120"/>
      <c r="J205" s="120"/>
      <c r="K205" s="120"/>
    </row>
    <row r="206" ht="15.75" spans="1:11">
      <c r="A206" s="120"/>
      <c r="B206" s="187" t="s">
        <v>109</v>
      </c>
      <c r="C206" s="187"/>
      <c r="D206" s="187"/>
      <c r="E206" s="187"/>
      <c r="F206" s="187"/>
      <c r="G206" s="187"/>
      <c r="H206" s="187"/>
      <c r="I206" s="187"/>
      <c r="J206" s="203"/>
      <c r="K206" s="204"/>
    </row>
    <row r="207" ht="15.75" spans="1:11">
      <c r="A207" s="120"/>
      <c r="B207" s="187"/>
      <c r="C207" s="187"/>
      <c r="D207" s="187"/>
      <c r="E207" s="187"/>
      <c r="F207" s="187"/>
      <c r="G207" s="187"/>
      <c r="H207" s="187"/>
      <c r="I207" s="187"/>
      <c r="J207" s="203"/>
      <c r="K207" s="204"/>
    </row>
    <row r="208" ht="15.75" spans="1:11">
      <c r="A208" s="120"/>
      <c r="B208" s="187"/>
      <c r="C208" s="187"/>
      <c r="D208" s="187"/>
      <c r="E208" s="187"/>
      <c r="F208" s="187"/>
      <c r="G208" s="187"/>
      <c r="H208" s="187"/>
      <c r="I208" s="187"/>
      <c r="J208" s="203"/>
      <c r="K208" s="204"/>
    </row>
    <row r="209" ht="16.5" spans="1:11">
      <c r="A209" s="188"/>
      <c r="B209" s="189"/>
      <c r="C209" s="189"/>
      <c r="D209" s="189"/>
      <c r="E209" s="189"/>
      <c r="F209" s="189"/>
      <c r="G209" s="189"/>
      <c r="H209" s="189"/>
      <c r="I209" s="189"/>
      <c r="J209" s="205"/>
      <c r="K209" s="188"/>
    </row>
    <row r="210" ht="15.75" spans="1:11">
      <c r="A210" s="120"/>
      <c r="B210" s="120"/>
      <c r="C210" s="120"/>
      <c r="D210" s="120"/>
      <c r="E210" s="120"/>
      <c r="F210" s="120"/>
      <c r="G210" s="120"/>
      <c r="H210" s="120"/>
      <c r="I210" s="120"/>
      <c r="J210" s="120"/>
      <c r="K210" s="120"/>
    </row>
    <row r="211" ht="15.75" spans="1:11">
      <c r="A211" s="5" t="s">
        <v>110</v>
      </c>
      <c r="B211" s="5"/>
      <c r="C211" s="5"/>
      <c r="D211" s="5"/>
      <c r="E211" s="6" t="s">
        <v>111</v>
      </c>
      <c r="F211" s="6" t="str">
        <f>'DATA SISWA'!B14</f>
        <v>MUSTOFA ABDUL KARIM BENZEMA</v>
      </c>
      <c r="G211" s="120"/>
      <c r="H211" s="120"/>
      <c r="I211" s="120"/>
      <c r="J211" s="120"/>
      <c r="K211" s="120"/>
    </row>
    <row r="212" ht="15.75" spans="1:11">
      <c r="A212" s="5" t="s">
        <v>112</v>
      </c>
      <c r="B212" s="5"/>
      <c r="C212" s="5"/>
      <c r="D212" s="5"/>
      <c r="E212" s="6" t="s">
        <v>111</v>
      </c>
      <c r="F212" s="6" t="s">
        <v>1</v>
      </c>
      <c r="G212" s="120"/>
      <c r="H212" s="120"/>
      <c r="I212" s="120"/>
      <c r="J212" s="120"/>
      <c r="K212" s="120"/>
    </row>
    <row r="213" ht="15.75" spans="1:11">
      <c r="A213" s="5" t="s">
        <v>113</v>
      </c>
      <c r="B213" s="5"/>
      <c r="C213" s="5"/>
      <c r="D213" s="5"/>
      <c r="E213" s="6" t="s">
        <v>111</v>
      </c>
      <c r="F213" s="6" t="s">
        <v>3</v>
      </c>
      <c r="G213" s="190"/>
      <c r="H213" s="190"/>
      <c r="I213" s="190"/>
      <c r="J213" s="190"/>
      <c r="K213" s="190"/>
    </row>
    <row r="214" ht="15.75" spans="1:11">
      <c r="A214" s="5" t="s">
        <v>114</v>
      </c>
      <c r="B214" s="5"/>
      <c r="C214" s="5"/>
      <c r="D214" s="5"/>
      <c r="E214" s="6" t="s">
        <v>111</v>
      </c>
      <c r="F214" s="6" t="s">
        <v>7</v>
      </c>
      <c r="G214" s="190"/>
      <c r="H214" s="190"/>
      <c r="I214" s="190"/>
      <c r="J214" s="190"/>
      <c r="K214" s="190"/>
    </row>
    <row r="215" ht="15.75" spans="1:11">
      <c r="A215" s="6" t="s">
        <v>146</v>
      </c>
      <c r="B215" s="191"/>
      <c r="C215" s="191"/>
      <c r="D215" s="191"/>
      <c r="E215" s="6" t="s">
        <v>111</v>
      </c>
      <c r="F215" s="6" t="s">
        <v>5</v>
      </c>
      <c r="G215" s="120"/>
      <c r="H215" s="120"/>
      <c r="I215" s="120"/>
      <c r="J215" s="120"/>
      <c r="K215" s="120"/>
    </row>
    <row r="216" spans="1:11">
      <c r="A216" s="120"/>
      <c r="B216" s="120"/>
      <c r="C216" s="120"/>
      <c r="D216" s="120"/>
      <c r="E216" s="120"/>
      <c r="F216" s="120"/>
      <c r="G216" s="120"/>
      <c r="H216" s="120"/>
      <c r="I216" s="120"/>
      <c r="J216" s="120"/>
      <c r="K216" s="120"/>
    </row>
    <row r="217" ht="15.75" spans="1:11">
      <c r="A217" s="6" t="s">
        <v>147</v>
      </c>
      <c r="B217" s="120"/>
      <c r="C217" s="120"/>
      <c r="D217" s="120"/>
      <c r="E217" s="120"/>
      <c r="F217" s="120"/>
      <c r="G217" s="120"/>
      <c r="H217" s="120"/>
      <c r="I217" s="120"/>
      <c r="J217" s="120"/>
      <c r="K217" s="120"/>
    </row>
    <row r="218" ht="15.75" spans="1:11">
      <c r="A218" s="192" t="s">
        <v>148</v>
      </c>
      <c r="B218" s="193"/>
      <c r="C218" s="193" t="s">
        <v>116</v>
      </c>
      <c r="D218" s="194" t="s">
        <v>117</v>
      </c>
      <c r="E218" s="192" t="s">
        <v>119</v>
      </c>
      <c r="F218" s="195"/>
      <c r="G218" s="195"/>
      <c r="H218" s="195"/>
      <c r="I218" s="195"/>
      <c r="J218" s="195"/>
      <c r="K218" s="193"/>
    </row>
    <row r="219" ht="30" customHeight="1" spans="1:11">
      <c r="A219" s="196" t="s">
        <v>149</v>
      </c>
      <c r="B219" s="196"/>
      <c r="C219" s="177">
        <v>75</v>
      </c>
      <c r="D219" s="177">
        <v>85</v>
      </c>
      <c r="E219" s="197"/>
      <c r="F219" s="198"/>
      <c r="G219" s="198"/>
      <c r="H219" s="198"/>
      <c r="I219" s="198"/>
      <c r="J219" s="198"/>
      <c r="K219" s="206"/>
    </row>
    <row r="220" ht="30" customHeight="1" spans="1:11">
      <c r="A220" s="196" t="s">
        <v>150</v>
      </c>
      <c r="B220" s="196"/>
      <c r="C220" s="177">
        <v>75</v>
      </c>
      <c r="D220" s="177">
        <v>100</v>
      </c>
      <c r="E220" s="197"/>
      <c r="F220" s="198"/>
      <c r="G220" s="198"/>
      <c r="H220" s="198"/>
      <c r="I220" s="198"/>
      <c r="J220" s="198"/>
      <c r="K220" s="206"/>
    </row>
    <row r="221" ht="30" customHeight="1" spans="1:11">
      <c r="A221" s="196" t="s">
        <v>151</v>
      </c>
      <c r="B221" s="196"/>
      <c r="C221" s="177">
        <v>75</v>
      </c>
      <c r="D221" s="177">
        <v>95</v>
      </c>
      <c r="E221" s="197"/>
      <c r="F221" s="198"/>
      <c r="G221" s="198"/>
      <c r="H221" s="198"/>
      <c r="I221" s="198"/>
      <c r="J221" s="198"/>
      <c r="K221" s="206"/>
    </row>
    <row r="222" ht="15.75" spans="1:11">
      <c r="A222" s="1"/>
      <c r="B222" s="1"/>
      <c r="C222" s="1"/>
      <c r="D222" s="1"/>
      <c r="E222" s="1"/>
      <c r="F222" s="1"/>
      <c r="G222" s="1"/>
      <c r="H222" s="1"/>
      <c r="I222" s="1"/>
      <c r="J222" s="1"/>
      <c r="K222" s="1"/>
    </row>
    <row r="223" ht="15.75" spans="1:11">
      <c r="A223" s="6" t="s">
        <v>152</v>
      </c>
      <c r="B223" s="1"/>
      <c r="C223" s="1"/>
      <c r="D223" s="1"/>
      <c r="E223" s="1"/>
      <c r="F223" s="1"/>
      <c r="G223" s="1"/>
      <c r="H223" s="1"/>
      <c r="I223" s="1"/>
      <c r="J223" s="1"/>
      <c r="K223" s="1"/>
    </row>
    <row r="224" ht="15.75" spans="1:11">
      <c r="A224" s="192" t="s">
        <v>148</v>
      </c>
      <c r="B224" s="193"/>
      <c r="C224" s="193" t="s">
        <v>116</v>
      </c>
      <c r="D224" s="194" t="s">
        <v>117</v>
      </c>
      <c r="E224" s="192" t="s">
        <v>119</v>
      </c>
      <c r="F224" s="195"/>
      <c r="G224" s="195"/>
      <c r="H224" s="195"/>
      <c r="I224" s="195"/>
      <c r="J224" s="195"/>
      <c r="K224" s="193"/>
    </row>
    <row r="225" ht="30" customHeight="1" spans="1:11">
      <c r="A225" s="196" t="s">
        <v>153</v>
      </c>
      <c r="B225" s="196"/>
      <c r="C225" s="177">
        <v>75</v>
      </c>
      <c r="D225" s="177"/>
      <c r="E225" s="197"/>
      <c r="F225" s="198"/>
      <c r="G225" s="198"/>
      <c r="H225" s="198"/>
      <c r="I225" s="198"/>
      <c r="J225" s="198"/>
      <c r="K225" s="206"/>
    </row>
    <row r="226" ht="30" customHeight="1" spans="1:11">
      <c r="A226" s="196" t="s">
        <v>154</v>
      </c>
      <c r="B226" s="196"/>
      <c r="C226" s="177">
        <v>75</v>
      </c>
      <c r="D226" s="177"/>
      <c r="E226" s="197"/>
      <c r="F226" s="198"/>
      <c r="G226" s="198"/>
      <c r="H226" s="198"/>
      <c r="I226" s="198"/>
      <c r="J226" s="198"/>
      <c r="K226" s="206"/>
    </row>
    <row r="227" ht="30" customHeight="1" spans="1:11">
      <c r="A227" s="196" t="s">
        <v>155</v>
      </c>
      <c r="B227" s="196"/>
      <c r="C227" s="177">
        <v>75</v>
      </c>
      <c r="D227" s="177"/>
      <c r="E227" s="197"/>
      <c r="F227" s="198"/>
      <c r="G227" s="198"/>
      <c r="H227" s="198"/>
      <c r="I227" s="198"/>
      <c r="J227" s="198"/>
      <c r="K227" s="206"/>
    </row>
    <row r="228" ht="30" customHeight="1" spans="1:11">
      <c r="A228" s="196" t="s">
        <v>156</v>
      </c>
      <c r="B228" s="196"/>
      <c r="C228" s="177">
        <v>75</v>
      </c>
      <c r="D228" s="199"/>
      <c r="E228" s="200"/>
      <c r="F228" s="201"/>
      <c r="G228" s="201"/>
      <c r="H228" s="201"/>
      <c r="I228" s="201"/>
      <c r="J228" s="201"/>
      <c r="K228" s="207"/>
    </row>
    <row r="229" ht="15.75" spans="1:11">
      <c r="A229" s="1"/>
      <c r="B229" s="1"/>
      <c r="C229" s="1"/>
      <c r="D229" s="1"/>
      <c r="E229" s="1"/>
      <c r="F229" s="1"/>
      <c r="G229" s="1"/>
      <c r="H229" s="1"/>
      <c r="I229" s="1"/>
      <c r="J229" s="1"/>
      <c r="K229" s="1"/>
    </row>
    <row r="230" customHeight="1" spans="1:11">
      <c r="A230" s="1"/>
      <c r="B230" s="1"/>
      <c r="C230" s="1"/>
      <c r="D230" s="1"/>
      <c r="E230" s="1"/>
      <c r="F230" s="1"/>
      <c r="G230" s="1"/>
      <c r="H230" s="1"/>
      <c r="I230" s="1"/>
      <c r="J230" s="1"/>
      <c r="K230" s="1"/>
    </row>
    <row r="231" ht="15.75" spans="1:11">
      <c r="A231" s="1" t="s">
        <v>137</v>
      </c>
      <c r="B231" s="1"/>
      <c r="C231" s="1"/>
      <c r="D231" s="1"/>
      <c r="E231" s="1"/>
      <c r="F231" s="1"/>
      <c r="G231" s="1"/>
      <c r="H231" s="1"/>
      <c r="I231" s="1" t="s">
        <v>138</v>
      </c>
      <c r="J231" s="1"/>
      <c r="K231" s="1"/>
    </row>
    <row r="232" ht="15.75" spans="1:11">
      <c r="A232" s="1" t="s">
        <v>139</v>
      </c>
      <c r="B232" s="1"/>
      <c r="C232" s="1"/>
      <c r="D232" s="1"/>
      <c r="E232" s="1"/>
      <c r="F232" s="1"/>
      <c r="G232" s="1"/>
      <c r="H232" s="1"/>
      <c r="I232" s="1" t="s">
        <v>140</v>
      </c>
      <c r="J232" s="1"/>
      <c r="K232" s="1"/>
    </row>
    <row r="233" ht="15.75" spans="1:11">
      <c r="A233" s="1"/>
      <c r="B233" s="1"/>
      <c r="C233" s="1"/>
      <c r="D233" s="1"/>
      <c r="E233" s="1"/>
      <c r="F233" s="1"/>
      <c r="G233" s="1"/>
      <c r="H233" s="1"/>
      <c r="I233" s="1"/>
      <c r="J233" s="1"/>
      <c r="K233" s="1"/>
    </row>
    <row r="234" ht="15.75" spans="1:11">
      <c r="A234" s="1"/>
      <c r="B234" s="1"/>
      <c r="C234" s="1"/>
      <c r="D234" s="1"/>
      <c r="E234" s="1"/>
      <c r="F234" s="1"/>
      <c r="G234" s="1"/>
      <c r="H234" s="1"/>
      <c r="I234" s="1"/>
      <c r="J234" s="1"/>
      <c r="K234" s="1"/>
    </row>
    <row r="235" ht="15.75" spans="1:11">
      <c r="A235" s="122" t="str">
        <f>'DATA SISWA'!M14</f>
        <v>MUTHOLIB</v>
      </c>
      <c r="B235" s="1"/>
      <c r="C235" s="1"/>
      <c r="D235" s="1"/>
      <c r="E235" s="1"/>
      <c r="F235" s="1"/>
      <c r="G235" s="1"/>
      <c r="H235" s="1"/>
      <c r="I235" s="53" t="s">
        <v>141</v>
      </c>
      <c r="J235" s="1"/>
      <c r="K235" s="1"/>
    </row>
    <row r="236" ht="15.75" spans="1:11">
      <c r="A236" s="1"/>
      <c r="B236" s="1"/>
      <c r="C236" s="1"/>
      <c r="D236" s="1"/>
      <c r="E236" s="1"/>
      <c r="F236" s="1"/>
      <c r="G236" s="1"/>
      <c r="H236" s="1"/>
      <c r="I236" s="6" t="s">
        <v>143</v>
      </c>
      <c r="J236" s="1"/>
      <c r="K236" s="1"/>
    </row>
    <row r="237" ht="15.75" spans="1:11">
      <c r="A237" s="1"/>
      <c r="B237" s="1"/>
      <c r="C237" s="1"/>
      <c r="D237" s="52" t="s">
        <v>142</v>
      </c>
      <c r="E237" s="52"/>
      <c r="F237" s="52"/>
      <c r="G237" s="1"/>
      <c r="H237" s="1"/>
      <c r="I237" s="1"/>
      <c r="J237" s="1"/>
      <c r="K237" s="1"/>
    </row>
    <row r="238" ht="15.75" spans="1:11">
      <c r="A238" s="1"/>
      <c r="B238" s="1"/>
      <c r="C238" s="1"/>
      <c r="D238" s="1"/>
      <c r="E238" s="1"/>
      <c r="F238" s="1"/>
      <c r="G238" s="1"/>
      <c r="H238" s="1"/>
      <c r="I238" s="1"/>
      <c r="J238" s="1"/>
      <c r="K238" s="1"/>
    </row>
    <row r="239" ht="15.75" spans="1:11">
      <c r="A239" s="1"/>
      <c r="B239" s="1"/>
      <c r="C239" s="1"/>
      <c r="D239" s="1"/>
      <c r="E239" s="1"/>
      <c r="F239" s="1"/>
      <c r="G239" s="1"/>
      <c r="H239" s="1"/>
      <c r="I239" s="1"/>
      <c r="J239" s="1"/>
      <c r="K239" s="1"/>
    </row>
    <row r="240" ht="15.75" spans="1:11">
      <c r="A240" s="1"/>
      <c r="B240" s="1"/>
      <c r="C240" s="1"/>
      <c r="D240" s="54" t="s">
        <v>144</v>
      </c>
      <c r="E240" s="54"/>
      <c r="F240" s="54"/>
      <c r="G240" s="1"/>
      <c r="H240" s="1"/>
      <c r="I240" s="1"/>
      <c r="J240" s="1"/>
      <c r="K240" s="1"/>
    </row>
    <row r="241" ht="15.75" spans="1:11">
      <c r="A241" s="1"/>
      <c r="B241" s="1"/>
      <c r="C241" s="1"/>
      <c r="D241" s="202" t="s">
        <v>145</v>
      </c>
      <c r="E241" s="202"/>
      <c r="F241" s="202"/>
      <c r="G241" s="1"/>
      <c r="H241" s="1"/>
      <c r="I241" s="1"/>
      <c r="J241" s="1"/>
      <c r="K241" s="1"/>
    </row>
    <row r="245" spans="1:11">
      <c r="A245" s="120"/>
      <c r="B245" s="120"/>
      <c r="C245" s="120"/>
      <c r="D245" s="120"/>
      <c r="E245" s="120"/>
      <c r="F245" s="120"/>
      <c r="G245" s="120"/>
      <c r="H245" s="120"/>
      <c r="I245" s="120"/>
      <c r="J245" s="120"/>
      <c r="K245" s="120"/>
    </row>
    <row r="246" ht="15.75" spans="1:11">
      <c r="A246" s="120"/>
      <c r="B246" s="187" t="s">
        <v>109</v>
      </c>
      <c r="C246" s="187"/>
      <c r="D246" s="187"/>
      <c r="E246" s="187"/>
      <c r="F246" s="187"/>
      <c r="G246" s="187"/>
      <c r="H246" s="187"/>
      <c r="I246" s="187"/>
      <c r="J246" s="203"/>
      <c r="K246" s="204"/>
    </row>
    <row r="247" ht="15.75" spans="1:11">
      <c r="A247" s="120"/>
      <c r="B247" s="187"/>
      <c r="C247" s="187"/>
      <c r="D247" s="187"/>
      <c r="E247" s="187"/>
      <c r="F247" s="187"/>
      <c r="G247" s="187"/>
      <c r="H247" s="187"/>
      <c r="I247" s="187"/>
      <c r="J247" s="203"/>
      <c r="K247" s="204"/>
    </row>
    <row r="248" ht="15.75" spans="1:11">
      <c r="A248" s="120"/>
      <c r="B248" s="187"/>
      <c r="C248" s="187"/>
      <c r="D248" s="187"/>
      <c r="E248" s="187"/>
      <c r="F248" s="187"/>
      <c r="G248" s="187"/>
      <c r="H248" s="187"/>
      <c r="I248" s="187"/>
      <c r="J248" s="203"/>
      <c r="K248" s="204"/>
    </row>
    <row r="249" ht="16.5" spans="1:11">
      <c r="A249" s="188"/>
      <c r="B249" s="189"/>
      <c r="C249" s="189"/>
      <c r="D249" s="189"/>
      <c r="E249" s="189"/>
      <c r="F249" s="189"/>
      <c r="G249" s="189"/>
      <c r="H249" s="189"/>
      <c r="I249" s="189"/>
      <c r="J249" s="205"/>
      <c r="K249" s="188"/>
    </row>
    <row r="250" ht="15.75" spans="1:11">
      <c r="A250" s="120"/>
      <c r="B250" s="120"/>
      <c r="C250" s="120"/>
      <c r="D250" s="120"/>
      <c r="E250" s="120"/>
      <c r="F250" s="120"/>
      <c r="G250" s="120"/>
      <c r="H250" s="120"/>
      <c r="I250" s="120"/>
      <c r="J250" s="120"/>
      <c r="K250" s="120"/>
    </row>
    <row r="251" ht="15.75" spans="1:11">
      <c r="A251" s="5" t="s">
        <v>110</v>
      </c>
      <c r="B251" s="5"/>
      <c r="C251" s="5"/>
      <c r="D251" s="5"/>
      <c r="E251" s="6" t="s">
        <v>111</v>
      </c>
      <c r="F251" s="6" t="str">
        <f>'DATA SISWA'!B15</f>
        <v>RAZAN MUMTAZAH ZUBAIR</v>
      </c>
      <c r="G251" s="120"/>
      <c r="H251" s="120"/>
      <c r="I251" s="120"/>
      <c r="J251" s="120"/>
      <c r="K251" s="120"/>
    </row>
    <row r="252" ht="15.75" spans="1:11">
      <c r="A252" s="5" t="s">
        <v>112</v>
      </c>
      <c r="B252" s="5"/>
      <c r="C252" s="5"/>
      <c r="D252" s="5"/>
      <c r="E252" s="6" t="s">
        <v>111</v>
      </c>
      <c r="F252" s="6" t="s">
        <v>1</v>
      </c>
      <c r="G252" s="120"/>
      <c r="H252" s="120"/>
      <c r="I252" s="120"/>
      <c r="J252" s="120"/>
      <c r="K252" s="120"/>
    </row>
    <row r="253" ht="15.75" spans="1:11">
      <c r="A253" s="5" t="s">
        <v>113</v>
      </c>
      <c r="B253" s="5"/>
      <c r="C253" s="5"/>
      <c r="D253" s="5"/>
      <c r="E253" s="6" t="s">
        <v>111</v>
      </c>
      <c r="F253" s="6" t="s">
        <v>3</v>
      </c>
      <c r="G253" s="190"/>
      <c r="H253" s="190"/>
      <c r="I253" s="190"/>
      <c r="J253" s="190"/>
      <c r="K253" s="190"/>
    </row>
    <row r="254" ht="15.75" spans="1:11">
      <c r="A254" s="5" t="s">
        <v>114</v>
      </c>
      <c r="B254" s="5"/>
      <c r="C254" s="5"/>
      <c r="D254" s="5"/>
      <c r="E254" s="6" t="s">
        <v>111</v>
      </c>
      <c r="F254" s="6" t="s">
        <v>7</v>
      </c>
      <c r="G254" s="190"/>
      <c r="H254" s="190"/>
      <c r="I254" s="190"/>
      <c r="J254" s="190"/>
      <c r="K254" s="190"/>
    </row>
    <row r="255" ht="15.75" spans="1:11">
      <c r="A255" s="6" t="s">
        <v>146</v>
      </c>
      <c r="B255" s="191"/>
      <c r="C255" s="191"/>
      <c r="D255" s="191"/>
      <c r="E255" s="6" t="s">
        <v>111</v>
      </c>
      <c r="F255" s="6" t="s">
        <v>5</v>
      </c>
      <c r="G255" s="120"/>
      <c r="H255" s="120"/>
      <c r="I255" s="120"/>
      <c r="J255" s="120"/>
      <c r="K255" s="120"/>
    </row>
    <row r="256" spans="1:11">
      <c r="A256" s="120"/>
      <c r="B256" s="120"/>
      <c r="C256" s="120"/>
      <c r="D256" s="120"/>
      <c r="E256" s="120"/>
      <c r="F256" s="120"/>
      <c r="G256" s="120"/>
      <c r="H256" s="120"/>
      <c r="I256" s="120"/>
      <c r="J256" s="120"/>
      <c r="K256" s="120"/>
    </row>
    <row r="257" ht="15.75" spans="1:11">
      <c r="A257" s="6" t="s">
        <v>147</v>
      </c>
      <c r="B257" s="120"/>
      <c r="C257" s="120"/>
      <c r="D257" s="120"/>
      <c r="E257" s="120"/>
      <c r="F257" s="120"/>
      <c r="G257" s="120"/>
      <c r="H257" s="120"/>
      <c r="I257" s="120"/>
      <c r="J257" s="120"/>
      <c r="K257" s="120"/>
    </row>
    <row r="258" ht="15.75" spans="1:11">
      <c r="A258" s="192" t="s">
        <v>148</v>
      </c>
      <c r="B258" s="193"/>
      <c r="C258" s="193" t="s">
        <v>116</v>
      </c>
      <c r="D258" s="194" t="s">
        <v>117</v>
      </c>
      <c r="E258" s="192" t="s">
        <v>119</v>
      </c>
      <c r="F258" s="195"/>
      <c r="G258" s="195"/>
      <c r="H258" s="195"/>
      <c r="I258" s="195"/>
      <c r="J258" s="195"/>
      <c r="K258" s="193"/>
    </row>
    <row r="259" ht="30" customHeight="1" spans="1:11">
      <c r="A259" s="196" t="s">
        <v>149</v>
      </c>
      <c r="B259" s="196"/>
      <c r="C259" s="177">
        <v>75</v>
      </c>
      <c r="D259" s="177">
        <v>90</v>
      </c>
      <c r="E259" s="197"/>
      <c r="F259" s="198"/>
      <c r="G259" s="198"/>
      <c r="H259" s="198"/>
      <c r="I259" s="198"/>
      <c r="J259" s="198"/>
      <c r="K259" s="206"/>
    </row>
    <row r="260" ht="30" customHeight="1" spans="1:11">
      <c r="A260" s="196" t="s">
        <v>150</v>
      </c>
      <c r="B260" s="196"/>
      <c r="C260" s="177">
        <v>75</v>
      </c>
      <c r="D260" s="177">
        <v>90</v>
      </c>
      <c r="E260" s="197"/>
      <c r="F260" s="198"/>
      <c r="G260" s="198"/>
      <c r="H260" s="198"/>
      <c r="I260" s="198"/>
      <c r="J260" s="198"/>
      <c r="K260" s="206"/>
    </row>
    <row r="261" ht="30" customHeight="1" spans="1:11">
      <c r="A261" s="196" t="s">
        <v>151</v>
      </c>
      <c r="B261" s="196"/>
      <c r="C261" s="177">
        <v>75</v>
      </c>
      <c r="D261" s="177">
        <v>97</v>
      </c>
      <c r="E261" s="197"/>
      <c r="F261" s="198"/>
      <c r="G261" s="198"/>
      <c r="H261" s="198"/>
      <c r="I261" s="198"/>
      <c r="J261" s="198"/>
      <c r="K261" s="206"/>
    </row>
    <row r="262" ht="15.75" spans="1:11">
      <c r="A262" s="1"/>
      <c r="B262" s="1"/>
      <c r="C262" s="1"/>
      <c r="D262" s="1"/>
      <c r="E262" s="1"/>
      <c r="F262" s="1"/>
      <c r="G262" s="1"/>
      <c r="H262" s="1"/>
      <c r="I262" s="1"/>
      <c r="J262" s="1"/>
      <c r="K262" s="1"/>
    </row>
    <row r="263" ht="15.75" spans="1:11">
      <c r="A263" s="6" t="s">
        <v>152</v>
      </c>
      <c r="B263" s="1"/>
      <c r="C263" s="1"/>
      <c r="D263" s="1"/>
      <c r="E263" s="1"/>
      <c r="F263" s="1"/>
      <c r="G263" s="1"/>
      <c r="H263" s="1"/>
      <c r="I263" s="1"/>
      <c r="J263" s="1"/>
      <c r="K263" s="1"/>
    </row>
    <row r="264" ht="15.75" spans="1:11">
      <c r="A264" s="192" t="s">
        <v>148</v>
      </c>
      <c r="B264" s="193"/>
      <c r="C264" s="193" t="s">
        <v>116</v>
      </c>
      <c r="D264" s="194" t="s">
        <v>117</v>
      </c>
      <c r="E264" s="192" t="s">
        <v>119</v>
      </c>
      <c r="F264" s="195"/>
      <c r="G264" s="195"/>
      <c r="H264" s="195"/>
      <c r="I264" s="195"/>
      <c r="J264" s="195"/>
      <c r="K264" s="193"/>
    </row>
    <row r="265" ht="30" customHeight="1" spans="1:11">
      <c r="A265" s="196" t="s">
        <v>153</v>
      </c>
      <c r="B265" s="196"/>
      <c r="C265" s="177">
        <v>75</v>
      </c>
      <c r="D265" s="177"/>
      <c r="E265" s="197"/>
      <c r="F265" s="198"/>
      <c r="G265" s="198"/>
      <c r="H265" s="198"/>
      <c r="I265" s="198"/>
      <c r="J265" s="198"/>
      <c r="K265" s="206"/>
    </row>
    <row r="266" ht="30" customHeight="1" spans="1:11">
      <c r="A266" s="196" t="s">
        <v>154</v>
      </c>
      <c r="B266" s="196"/>
      <c r="C266" s="177">
        <v>75</v>
      </c>
      <c r="D266" s="177"/>
      <c r="E266" s="197"/>
      <c r="F266" s="198"/>
      <c r="G266" s="198"/>
      <c r="H266" s="198"/>
      <c r="I266" s="198"/>
      <c r="J266" s="198"/>
      <c r="K266" s="206"/>
    </row>
    <row r="267" ht="30" customHeight="1" spans="1:11">
      <c r="A267" s="196" t="s">
        <v>155</v>
      </c>
      <c r="B267" s="196"/>
      <c r="C267" s="177">
        <v>75</v>
      </c>
      <c r="D267" s="177"/>
      <c r="E267" s="196"/>
      <c r="F267" s="196"/>
      <c r="G267" s="196"/>
      <c r="H267" s="196"/>
      <c r="I267" s="196"/>
      <c r="J267" s="196"/>
      <c r="K267" s="196"/>
    </row>
    <row r="268" ht="30" customHeight="1" spans="1:11">
      <c r="A268" s="196" t="s">
        <v>156</v>
      </c>
      <c r="B268" s="196"/>
      <c r="C268" s="177">
        <v>75</v>
      </c>
      <c r="D268" s="199"/>
      <c r="E268" s="200"/>
      <c r="F268" s="201"/>
      <c r="G268" s="201"/>
      <c r="H268" s="201"/>
      <c r="I268" s="201"/>
      <c r="J268" s="201"/>
      <c r="K268" s="207"/>
    </row>
    <row r="269" ht="15.75" spans="1:11">
      <c r="A269" s="1"/>
      <c r="B269" s="1"/>
      <c r="C269" s="1"/>
      <c r="D269" s="1"/>
      <c r="E269" s="1"/>
      <c r="F269" s="1"/>
      <c r="G269" s="1"/>
      <c r="H269" s="1"/>
      <c r="I269" s="1"/>
      <c r="J269" s="1"/>
      <c r="K269" s="1"/>
    </row>
    <row r="270" customHeight="1" spans="1:11">
      <c r="A270" s="1"/>
      <c r="B270" s="1"/>
      <c r="C270" s="1"/>
      <c r="D270" s="1"/>
      <c r="E270" s="1"/>
      <c r="F270" s="1"/>
      <c r="G270" s="1"/>
      <c r="H270" s="1"/>
      <c r="I270" s="1"/>
      <c r="J270" s="1"/>
      <c r="K270" s="1"/>
    </row>
    <row r="271" ht="15.75" spans="1:11">
      <c r="A271" s="1" t="s">
        <v>137</v>
      </c>
      <c r="B271" s="1"/>
      <c r="C271" s="1"/>
      <c r="D271" s="1"/>
      <c r="E271" s="1"/>
      <c r="F271" s="1"/>
      <c r="G271" s="1"/>
      <c r="H271" s="1"/>
      <c r="I271" s="1" t="s">
        <v>138</v>
      </c>
      <c r="J271" s="1"/>
      <c r="K271" s="1"/>
    </row>
    <row r="272" ht="15.75" spans="1:11">
      <c r="A272" s="1" t="s">
        <v>139</v>
      </c>
      <c r="B272" s="1"/>
      <c r="C272" s="1"/>
      <c r="D272" s="1"/>
      <c r="E272" s="1"/>
      <c r="F272" s="1"/>
      <c r="G272" s="1"/>
      <c r="H272" s="1"/>
      <c r="I272" s="1" t="s">
        <v>140</v>
      </c>
      <c r="J272" s="1"/>
      <c r="K272" s="1"/>
    </row>
    <row r="273" ht="15.75" spans="1:11">
      <c r="A273" s="1"/>
      <c r="B273" s="1"/>
      <c r="C273" s="1"/>
      <c r="D273" s="1"/>
      <c r="E273" s="1"/>
      <c r="F273" s="1"/>
      <c r="G273" s="1"/>
      <c r="H273" s="1"/>
      <c r="I273" s="1"/>
      <c r="J273" s="1"/>
      <c r="K273" s="1"/>
    </row>
    <row r="274" ht="15.75" spans="1:11">
      <c r="A274" s="1"/>
      <c r="B274" s="1"/>
      <c r="C274" s="1"/>
      <c r="D274" s="1"/>
      <c r="E274" s="1"/>
      <c r="F274" s="1"/>
      <c r="G274" s="1"/>
      <c r="H274" s="1"/>
      <c r="I274" s="1"/>
      <c r="J274" s="1"/>
      <c r="K274" s="1"/>
    </row>
    <row r="275" ht="15.75" spans="1:11">
      <c r="A275" s="122" t="str">
        <f>'DATA SISWA'!M15</f>
        <v>DESRENI</v>
      </c>
      <c r="B275" s="1"/>
      <c r="C275" s="1"/>
      <c r="D275" s="1"/>
      <c r="E275" s="1"/>
      <c r="F275" s="1"/>
      <c r="G275" s="1"/>
      <c r="H275" s="1"/>
      <c r="I275" s="53" t="s">
        <v>141</v>
      </c>
      <c r="J275" s="1"/>
      <c r="K275" s="1"/>
    </row>
    <row r="276" ht="15.75" spans="1:11">
      <c r="A276" s="1"/>
      <c r="B276" s="1"/>
      <c r="C276" s="1"/>
      <c r="D276" s="1"/>
      <c r="E276" s="1"/>
      <c r="F276" s="1"/>
      <c r="G276" s="1"/>
      <c r="H276" s="1"/>
      <c r="I276" s="6" t="s">
        <v>143</v>
      </c>
      <c r="J276" s="1"/>
      <c r="K276" s="1"/>
    </row>
    <row r="277" ht="15.75" spans="1:11">
      <c r="A277" s="1"/>
      <c r="B277" s="1"/>
      <c r="C277" s="1"/>
      <c r="D277" s="52" t="s">
        <v>142</v>
      </c>
      <c r="E277" s="52"/>
      <c r="F277" s="52"/>
      <c r="G277" s="1"/>
      <c r="H277" s="1"/>
      <c r="I277" s="1"/>
      <c r="J277" s="1"/>
      <c r="K277" s="1"/>
    </row>
    <row r="278" ht="15.75" spans="1:11">
      <c r="A278" s="1"/>
      <c r="B278" s="1"/>
      <c r="C278" s="1"/>
      <c r="D278" s="1"/>
      <c r="E278" s="1"/>
      <c r="F278" s="1"/>
      <c r="G278" s="1"/>
      <c r="H278" s="1"/>
      <c r="I278" s="1"/>
      <c r="J278" s="1"/>
      <c r="K278" s="1"/>
    </row>
    <row r="279" ht="15.75" spans="1:11">
      <c r="A279" s="1"/>
      <c r="B279" s="1"/>
      <c r="C279" s="1"/>
      <c r="D279" s="1"/>
      <c r="E279" s="1"/>
      <c r="F279" s="1"/>
      <c r="G279" s="1"/>
      <c r="H279" s="1"/>
      <c r="I279" s="1"/>
      <c r="J279" s="1"/>
      <c r="K279" s="1"/>
    </row>
    <row r="280" ht="15.75" spans="1:11">
      <c r="A280" s="1"/>
      <c r="B280" s="1"/>
      <c r="C280" s="1"/>
      <c r="D280" s="54" t="s">
        <v>144</v>
      </c>
      <c r="E280" s="54"/>
      <c r="F280" s="54"/>
      <c r="G280" s="1"/>
      <c r="H280" s="1"/>
      <c r="I280" s="1"/>
      <c r="J280" s="1"/>
      <c r="K280" s="1"/>
    </row>
    <row r="281" ht="15.75" spans="1:11">
      <c r="A281" s="1"/>
      <c r="B281" s="1"/>
      <c r="C281" s="1"/>
      <c r="D281" s="202" t="s">
        <v>145</v>
      </c>
      <c r="E281" s="202"/>
      <c r="F281" s="202"/>
      <c r="G281" s="1"/>
      <c r="H281" s="1"/>
      <c r="I281" s="1"/>
      <c r="J281" s="1"/>
      <c r="K281" s="1"/>
    </row>
    <row r="285" spans="1:11">
      <c r="A285" s="120"/>
      <c r="B285" s="120"/>
      <c r="C285" s="120"/>
      <c r="D285" s="120"/>
      <c r="E285" s="120"/>
      <c r="F285" s="120"/>
      <c r="G285" s="120"/>
      <c r="H285" s="120"/>
      <c r="I285" s="120"/>
      <c r="J285" s="120"/>
      <c r="K285" s="120"/>
    </row>
    <row r="286" ht="15.75" spans="1:11">
      <c r="A286" s="120"/>
      <c r="B286" s="187" t="s">
        <v>109</v>
      </c>
      <c r="C286" s="187"/>
      <c r="D286" s="187"/>
      <c r="E286" s="187"/>
      <c r="F286" s="187"/>
      <c r="G286" s="187"/>
      <c r="H286" s="187"/>
      <c r="I286" s="187"/>
      <c r="J286" s="203"/>
      <c r="K286" s="204"/>
    </row>
    <row r="287" ht="15.75" spans="1:11">
      <c r="A287" s="120"/>
      <c r="B287" s="187"/>
      <c r="C287" s="187"/>
      <c r="D287" s="187"/>
      <c r="E287" s="187"/>
      <c r="F287" s="187"/>
      <c r="G287" s="187"/>
      <c r="H287" s="187"/>
      <c r="I287" s="187"/>
      <c r="J287" s="203"/>
      <c r="K287" s="204"/>
    </row>
    <row r="288" ht="15.75" spans="1:11">
      <c r="A288" s="120"/>
      <c r="B288" s="187"/>
      <c r="C288" s="187"/>
      <c r="D288" s="187"/>
      <c r="E288" s="187"/>
      <c r="F288" s="187"/>
      <c r="G288" s="187"/>
      <c r="H288" s="187"/>
      <c r="I288" s="187"/>
      <c r="J288" s="203"/>
      <c r="K288" s="204"/>
    </row>
    <row r="289" ht="16.5" spans="1:11">
      <c r="A289" s="188"/>
      <c r="B289" s="189"/>
      <c r="C289" s="189"/>
      <c r="D289" s="189"/>
      <c r="E289" s="189"/>
      <c r="F289" s="189"/>
      <c r="G289" s="189"/>
      <c r="H289" s="189"/>
      <c r="I289" s="189"/>
      <c r="J289" s="205"/>
      <c r="K289" s="188"/>
    </row>
    <row r="290" ht="15.75" spans="1:11">
      <c r="A290" s="120"/>
      <c r="B290" s="120"/>
      <c r="C290" s="120"/>
      <c r="D290" s="120"/>
      <c r="E290" s="120"/>
      <c r="F290" s="120"/>
      <c r="G290" s="120"/>
      <c r="H290" s="120"/>
      <c r="I290" s="120"/>
      <c r="J290" s="120"/>
      <c r="K290" s="120"/>
    </row>
    <row r="291" ht="15.75" spans="1:11">
      <c r="A291" s="5" t="s">
        <v>110</v>
      </c>
      <c r="B291" s="5"/>
      <c r="C291" s="5"/>
      <c r="D291" s="5"/>
      <c r="E291" s="6" t="s">
        <v>111</v>
      </c>
      <c r="F291" s="6" t="str">
        <f>'DATA SISWA'!B16</f>
        <v>SHOFIYYAH MIZYANAH</v>
      </c>
      <c r="G291" s="120"/>
      <c r="H291" s="120"/>
      <c r="I291" s="120"/>
      <c r="J291" s="120"/>
      <c r="K291" s="120"/>
    </row>
    <row r="292" ht="15.75" spans="1:11">
      <c r="A292" s="5" t="s">
        <v>112</v>
      </c>
      <c r="B292" s="5"/>
      <c r="C292" s="5"/>
      <c r="D292" s="5"/>
      <c r="E292" s="6" t="s">
        <v>111</v>
      </c>
      <c r="F292" s="6" t="s">
        <v>1</v>
      </c>
      <c r="G292" s="120"/>
      <c r="H292" s="120"/>
      <c r="I292" s="120"/>
      <c r="J292" s="120"/>
      <c r="K292" s="120"/>
    </row>
    <row r="293" ht="15.75" spans="1:11">
      <c r="A293" s="5" t="s">
        <v>113</v>
      </c>
      <c r="B293" s="5"/>
      <c r="C293" s="5"/>
      <c r="D293" s="5"/>
      <c r="E293" s="6" t="s">
        <v>111</v>
      </c>
      <c r="F293" s="6" t="s">
        <v>3</v>
      </c>
      <c r="G293" s="190"/>
      <c r="H293" s="190"/>
      <c r="I293" s="190"/>
      <c r="J293" s="190"/>
      <c r="K293" s="190"/>
    </row>
    <row r="294" ht="15.75" spans="1:11">
      <c r="A294" s="5" t="s">
        <v>114</v>
      </c>
      <c r="B294" s="5"/>
      <c r="C294" s="5"/>
      <c r="D294" s="5"/>
      <c r="E294" s="6" t="s">
        <v>111</v>
      </c>
      <c r="F294" s="6" t="s">
        <v>7</v>
      </c>
      <c r="G294" s="190"/>
      <c r="H294" s="190"/>
      <c r="I294" s="190"/>
      <c r="J294" s="190"/>
      <c r="K294" s="190"/>
    </row>
    <row r="295" ht="15.75" spans="1:11">
      <c r="A295" s="6" t="s">
        <v>146</v>
      </c>
      <c r="B295" s="191"/>
      <c r="C295" s="191"/>
      <c r="D295" s="191"/>
      <c r="E295" s="6" t="s">
        <v>111</v>
      </c>
      <c r="F295" s="6" t="s">
        <v>5</v>
      </c>
      <c r="G295" s="120"/>
      <c r="H295" s="120"/>
      <c r="I295" s="120"/>
      <c r="J295" s="120"/>
      <c r="K295" s="120"/>
    </row>
    <row r="296" spans="1:11">
      <c r="A296" s="120"/>
      <c r="B296" s="120"/>
      <c r="C296" s="120"/>
      <c r="D296" s="120"/>
      <c r="E296" s="120"/>
      <c r="F296" s="120"/>
      <c r="G296" s="120"/>
      <c r="H296" s="120"/>
      <c r="I296" s="120"/>
      <c r="J296" s="120"/>
      <c r="K296" s="120"/>
    </row>
    <row r="297" ht="15.75" spans="1:11">
      <c r="A297" s="6" t="s">
        <v>147</v>
      </c>
      <c r="B297" s="120"/>
      <c r="C297" s="120"/>
      <c r="D297" s="120"/>
      <c r="E297" s="120"/>
      <c r="F297" s="120"/>
      <c r="G297" s="120"/>
      <c r="H297" s="120"/>
      <c r="I297" s="120"/>
      <c r="J297" s="120"/>
      <c r="K297" s="120"/>
    </row>
    <row r="298" ht="15.75" spans="1:11">
      <c r="A298" s="192" t="s">
        <v>148</v>
      </c>
      <c r="B298" s="193"/>
      <c r="C298" s="193" t="s">
        <v>116</v>
      </c>
      <c r="D298" s="194" t="s">
        <v>117</v>
      </c>
      <c r="E298" s="192" t="s">
        <v>119</v>
      </c>
      <c r="F298" s="195"/>
      <c r="G298" s="195"/>
      <c r="H298" s="195"/>
      <c r="I298" s="195"/>
      <c r="J298" s="195"/>
      <c r="K298" s="193"/>
    </row>
    <row r="299" ht="30" customHeight="1" spans="1:11">
      <c r="A299" s="196" t="s">
        <v>149</v>
      </c>
      <c r="B299" s="196"/>
      <c r="C299" s="177">
        <v>75</v>
      </c>
      <c r="D299" s="177">
        <v>90</v>
      </c>
      <c r="E299" s="197"/>
      <c r="F299" s="198"/>
      <c r="G299" s="198"/>
      <c r="H299" s="198"/>
      <c r="I299" s="198"/>
      <c r="J299" s="198"/>
      <c r="K299" s="206"/>
    </row>
    <row r="300" ht="30" customHeight="1" spans="1:11">
      <c r="A300" s="196" t="s">
        <v>150</v>
      </c>
      <c r="B300" s="196"/>
      <c r="C300" s="177">
        <v>75</v>
      </c>
      <c r="D300" s="177">
        <v>85</v>
      </c>
      <c r="E300" s="197"/>
      <c r="F300" s="198"/>
      <c r="G300" s="198"/>
      <c r="H300" s="198"/>
      <c r="I300" s="198"/>
      <c r="J300" s="198"/>
      <c r="K300" s="206"/>
    </row>
    <row r="301" ht="30" customHeight="1" spans="1:11">
      <c r="A301" s="196" t="s">
        <v>151</v>
      </c>
      <c r="B301" s="196"/>
      <c r="C301" s="177">
        <v>75</v>
      </c>
      <c r="D301" s="177">
        <v>97</v>
      </c>
      <c r="E301" s="197"/>
      <c r="F301" s="198"/>
      <c r="G301" s="198"/>
      <c r="H301" s="198"/>
      <c r="I301" s="198"/>
      <c r="J301" s="198"/>
      <c r="K301" s="206"/>
    </row>
    <row r="302" ht="15.75" spans="1:11">
      <c r="A302" s="1"/>
      <c r="B302" s="1"/>
      <c r="C302" s="1"/>
      <c r="D302" s="1"/>
      <c r="E302" s="1"/>
      <c r="F302" s="1"/>
      <c r="G302" s="1"/>
      <c r="H302" s="1"/>
      <c r="I302" s="1"/>
      <c r="J302" s="1"/>
      <c r="K302" s="1"/>
    </row>
    <row r="303" ht="15.75" spans="1:11">
      <c r="A303" s="6" t="s">
        <v>152</v>
      </c>
      <c r="B303" s="1"/>
      <c r="C303" s="1"/>
      <c r="D303" s="1"/>
      <c r="E303" s="1"/>
      <c r="F303" s="1"/>
      <c r="G303" s="1"/>
      <c r="H303" s="1"/>
      <c r="I303" s="1"/>
      <c r="J303" s="1"/>
      <c r="K303" s="1"/>
    </row>
    <row r="304" ht="15.75" spans="1:11">
      <c r="A304" s="192" t="s">
        <v>148</v>
      </c>
      <c r="B304" s="193"/>
      <c r="C304" s="193" t="s">
        <v>116</v>
      </c>
      <c r="D304" s="194" t="s">
        <v>117</v>
      </c>
      <c r="E304" s="192" t="s">
        <v>119</v>
      </c>
      <c r="F304" s="195"/>
      <c r="G304" s="195"/>
      <c r="H304" s="195"/>
      <c r="I304" s="195"/>
      <c r="J304" s="195"/>
      <c r="K304" s="193"/>
    </row>
    <row r="305" ht="30" customHeight="1" spans="1:11">
      <c r="A305" s="196" t="s">
        <v>153</v>
      </c>
      <c r="B305" s="196"/>
      <c r="C305" s="177">
        <v>75</v>
      </c>
      <c r="D305" s="177"/>
      <c r="E305" s="196"/>
      <c r="F305" s="196"/>
      <c r="G305" s="196"/>
      <c r="H305" s="196"/>
      <c r="I305" s="196"/>
      <c r="J305" s="196"/>
      <c r="K305" s="196"/>
    </row>
    <row r="306" ht="30" customHeight="1" spans="1:11">
      <c r="A306" s="196" t="s">
        <v>154</v>
      </c>
      <c r="B306" s="196"/>
      <c r="C306" s="177">
        <v>75</v>
      </c>
      <c r="D306" s="177"/>
      <c r="E306" s="196"/>
      <c r="F306" s="196"/>
      <c r="G306" s="196"/>
      <c r="H306" s="196"/>
      <c r="I306" s="196"/>
      <c r="J306" s="196"/>
      <c r="K306" s="196"/>
    </row>
    <row r="307" ht="30" customHeight="1" spans="1:11">
      <c r="A307" s="196" t="s">
        <v>155</v>
      </c>
      <c r="B307" s="196"/>
      <c r="C307" s="177">
        <v>75</v>
      </c>
      <c r="D307" s="177"/>
      <c r="E307" s="196"/>
      <c r="F307" s="196"/>
      <c r="G307" s="196"/>
      <c r="H307" s="196"/>
      <c r="I307" s="196"/>
      <c r="J307" s="196"/>
      <c r="K307" s="196"/>
    </row>
    <row r="308" ht="30" customHeight="1" spans="1:11">
      <c r="A308" s="196" t="s">
        <v>156</v>
      </c>
      <c r="B308" s="196"/>
      <c r="C308" s="177">
        <v>75</v>
      </c>
      <c r="D308" s="199"/>
      <c r="E308" s="200"/>
      <c r="F308" s="201"/>
      <c r="G308" s="201"/>
      <c r="H308" s="201"/>
      <c r="I308" s="201"/>
      <c r="J308" s="201"/>
      <c r="K308" s="207"/>
    </row>
    <row r="309" ht="15.75" spans="1:11">
      <c r="A309" s="1"/>
      <c r="B309" s="1"/>
      <c r="C309" s="1"/>
      <c r="D309" s="1"/>
      <c r="E309" s="1"/>
      <c r="F309" s="1"/>
      <c r="G309" s="1"/>
      <c r="H309" s="1"/>
      <c r="I309" s="1"/>
      <c r="J309" s="1"/>
      <c r="K309" s="1"/>
    </row>
    <row r="310" customHeight="1" spans="1:11">
      <c r="A310" s="1"/>
      <c r="B310" s="1"/>
      <c r="C310" s="1"/>
      <c r="D310" s="1"/>
      <c r="E310" s="1"/>
      <c r="F310" s="1"/>
      <c r="G310" s="1"/>
      <c r="H310" s="1"/>
      <c r="I310" s="1"/>
      <c r="J310" s="1"/>
      <c r="K310" s="1"/>
    </row>
    <row r="311" ht="15.75" spans="1:11">
      <c r="A311" s="1" t="s">
        <v>137</v>
      </c>
      <c r="B311" s="1"/>
      <c r="C311" s="1"/>
      <c r="D311" s="1"/>
      <c r="E311" s="1"/>
      <c r="F311" s="1"/>
      <c r="G311" s="1"/>
      <c r="H311" s="1"/>
      <c r="I311" s="1" t="s">
        <v>138</v>
      </c>
      <c r="J311" s="1"/>
      <c r="K311" s="1"/>
    </row>
    <row r="312" ht="15.75" spans="1:11">
      <c r="A312" s="1" t="s">
        <v>139</v>
      </c>
      <c r="B312" s="1"/>
      <c r="C312" s="1"/>
      <c r="D312" s="1"/>
      <c r="E312" s="1"/>
      <c r="F312" s="1"/>
      <c r="G312" s="1"/>
      <c r="H312" s="1"/>
      <c r="I312" s="1" t="s">
        <v>140</v>
      </c>
      <c r="J312" s="1"/>
      <c r="K312" s="1"/>
    </row>
    <row r="313" ht="15.75" spans="1:11">
      <c r="A313" s="1"/>
      <c r="B313" s="1"/>
      <c r="C313" s="1"/>
      <c r="D313" s="1"/>
      <c r="E313" s="1"/>
      <c r="F313" s="1"/>
      <c r="G313" s="1"/>
      <c r="H313" s="1"/>
      <c r="I313" s="1"/>
      <c r="J313" s="1"/>
      <c r="K313" s="1"/>
    </row>
    <row r="314" ht="15.75" spans="1:11">
      <c r="A314" s="1"/>
      <c r="B314" s="1"/>
      <c r="C314" s="1"/>
      <c r="D314" s="1"/>
      <c r="E314" s="1"/>
      <c r="F314" s="1"/>
      <c r="G314" s="1"/>
      <c r="H314" s="1"/>
      <c r="I314" s="1"/>
      <c r="J314" s="1"/>
      <c r="K314" s="1"/>
    </row>
    <row r="315" ht="15.75" spans="1:11">
      <c r="A315" s="122" t="str">
        <f>'DATA SISWA'!M16</f>
        <v>MUHAMMAD JA'FAR SHIDIQ</v>
      </c>
      <c r="B315" s="1"/>
      <c r="C315" s="1"/>
      <c r="D315" s="1"/>
      <c r="E315" s="1"/>
      <c r="F315" s="1"/>
      <c r="G315" s="1"/>
      <c r="H315" s="1"/>
      <c r="I315" s="53" t="s">
        <v>141</v>
      </c>
      <c r="J315" s="1"/>
      <c r="K315" s="1"/>
    </row>
    <row r="316" ht="15.75" spans="1:11">
      <c r="A316" s="1"/>
      <c r="B316" s="1"/>
      <c r="C316" s="1"/>
      <c r="D316" s="1"/>
      <c r="E316" s="1"/>
      <c r="F316" s="1"/>
      <c r="G316" s="1"/>
      <c r="H316" s="1"/>
      <c r="I316" s="6" t="s">
        <v>143</v>
      </c>
      <c r="J316" s="1"/>
      <c r="K316" s="1"/>
    </row>
    <row r="317" ht="15.75" spans="1:11">
      <c r="A317" s="1"/>
      <c r="B317" s="1"/>
      <c r="C317" s="1"/>
      <c r="D317" s="52" t="s">
        <v>142</v>
      </c>
      <c r="E317" s="52"/>
      <c r="F317" s="52"/>
      <c r="G317" s="1"/>
      <c r="H317" s="1"/>
      <c r="I317" s="1"/>
      <c r="J317" s="1"/>
      <c r="K317" s="1"/>
    </row>
    <row r="318" ht="15.75" spans="1:11">
      <c r="A318" s="1"/>
      <c r="B318" s="1"/>
      <c r="C318" s="1"/>
      <c r="D318" s="1"/>
      <c r="E318" s="1"/>
      <c r="F318" s="1"/>
      <c r="G318" s="1"/>
      <c r="H318" s="1"/>
      <c r="I318" s="1"/>
      <c r="J318" s="1"/>
      <c r="K318" s="1"/>
    </row>
    <row r="319" ht="15.75" spans="1:11">
      <c r="A319" s="1"/>
      <c r="B319" s="1"/>
      <c r="C319" s="1"/>
      <c r="D319" s="1"/>
      <c r="E319" s="1"/>
      <c r="F319" s="1"/>
      <c r="G319" s="1"/>
      <c r="H319" s="1"/>
      <c r="I319" s="1"/>
      <c r="J319" s="1"/>
      <c r="K319" s="1"/>
    </row>
    <row r="320" ht="15.75" spans="1:11">
      <c r="A320" s="1"/>
      <c r="B320" s="1"/>
      <c r="C320" s="1"/>
      <c r="D320" s="54" t="s">
        <v>144</v>
      </c>
      <c r="E320" s="54"/>
      <c r="F320" s="54"/>
      <c r="G320" s="1"/>
      <c r="H320" s="1"/>
      <c r="I320" s="1"/>
      <c r="J320" s="1"/>
      <c r="K320" s="1"/>
    </row>
    <row r="321" ht="15.75" spans="1:11">
      <c r="A321" s="1"/>
      <c r="B321" s="1"/>
      <c r="C321" s="1"/>
      <c r="D321" s="202" t="s">
        <v>145</v>
      </c>
      <c r="E321" s="202"/>
      <c r="F321" s="202"/>
      <c r="G321" s="1"/>
      <c r="H321" s="1"/>
      <c r="I321" s="1"/>
      <c r="J321" s="1"/>
      <c r="K321" s="1"/>
    </row>
    <row r="325" spans="1:11">
      <c r="A325" s="120"/>
      <c r="B325" s="120"/>
      <c r="C325" s="120"/>
      <c r="D325" s="120"/>
      <c r="E325" s="120"/>
      <c r="F325" s="120"/>
      <c r="G325" s="120"/>
      <c r="H325" s="120"/>
      <c r="I325" s="120"/>
      <c r="J325" s="120"/>
      <c r="K325" s="120"/>
    </row>
    <row r="326" ht="15.75" spans="1:11">
      <c r="A326" s="120"/>
      <c r="B326" s="208" t="s">
        <v>109</v>
      </c>
      <c r="C326" s="208"/>
      <c r="D326" s="208"/>
      <c r="E326" s="208"/>
      <c r="F326" s="208"/>
      <c r="G326" s="208"/>
      <c r="H326" s="208"/>
      <c r="I326" s="208"/>
      <c r="J326" s="203"/>
      <c r="K326" s="204"/>
    </row>
    <row r="327" ht="15.75" spans="1:11">
      <c r="A327" s="120"/>
      <c r="B327" s="208"/>
      <c r="C327" s="208"/>
      <c r="D327" s="208"/>
      <c r="E327" s="208"/>
      <c r="F327" s="208"/>
      <c r="G327" s="208"/>
      <c r="H327" s="208"/>
      <c r="I327" s="208"/>
      <c r="J327" s="203"/>
      <c r="K327" s="204"/>
    </row>
    <row r="328" ht="15.75" spans="1:11">
      <c r="A328" s="120"/>
      <c r="B328" s="208"/>
      <c r="C328" s="208"/>
      <c r="D328" s="208"/>
      <c r="E328" s="208"/>
      <c r="F328" s="208"/>
      <c r="G328" s="208"/>
      <c r="H328" s="208"/>
      <c r="I328" s="208"/>
      <c r="J328" s="203"/>
      <c r="K328" s="204"/>
    </row>
    <row r="329" ht="16.5" spans="1:11">
      <c r="A329" s="188"/>
      <c r="B329" s="209"/>
      <c r="C329" s="209"/>
      <c r="D329" s="209"/>
      <c r="E329" s="209"/>
      <c r="F329" s="209"/>
      <c r="G329" s="209"/>
      <c r="H329" s="209"/>
      <c r="I329" s="209"/>
      <c r="J329" s="205"/>
      <c r="K329" s="188"/>
    </row>
    <row r="330" ht="15.75" spans="1:11">
      <c r="A330" s="120"/>
      <c r="B330" s="120"/>
      <c r="C330" s="120"/>
      <c r="D330" s="120"/>
      <c r="E330" s="120"/>
      <c r="F330" s="120"/>
      <c r="G330" s="120"/>
      <c r="H330" s="120"/>
      <c r="I330" s="120"/>
      <c r="J330" s="120"/>
      <c r="K330" s="120"/>
    </row>
    <row r="331" ht="15.75" spans="1:11">
      <c r="A331" s="5" t="s">
        <v>110</v>
      </c>
      <c r="B331" s="5"/>
      <c r="C331" s="5"/>
      <c r="D331" s="5"/>
      <c r="E331" s="6" t="s">
        <v>111</v>
      </c>
      <c r="F331" s="6">
        <f>'DATA SISWA'!B17</f>
        <v>0</v>
      </c>
      <c r="G331" s="120"/>
      <c r="H331" s="120"/>
      <c r="I331" s="120"/>
      <c r="J331" s="120"/>
      <c r="K331" s="120"/>
    </row>
    <row r="332" ht="15.75" spans="1:11">
      <c r="A332" s="5" t="s">
        <v>112</v>
      </c>
      <c r="B332" s="5"/>
      <c r="C332" s="5"/>
      <c r="D332" s="5"/>
      <c r="E332" s="6" t="s">
        <v>111</v>
      </c>
      <c r="F332" s="6" t="s">
        <v>1</v>
      </c>
      <c r="G332" s="120"/>
      <c r="H332" s="120"/>
      <c r="I332" s="120"/>
      <c r="J332" s="120"/>
      <c r="K332" s="120"/>
    </row>
    <row r="333" ht="15.75" spans="1:11">
      <c r="A333" s="5" t="s">
        <v>113</v>
      </c>
      <c r="B333" s="5"/>
      <c r="C333" s="5"/>
      <c r="D333" s="5"/>
      <c r="E333" s="6" t="s">
        <v>111</v>
      </c>
      <c r="F333" s="6" t="s">
        <v>157</v>
      </c>
      <c r="G333" s="190"/>
      <c r="H333" s="190"/>
      <c r="I333" s="190"/>
      <c r="J333" s="190"/>
      <c r="K333" s="190"/>
    </row>
    <row r="334" ht="15.75" spans="1:11">
      <c r="A334" s="5" t="s">
        <v>114</v>
      </c>
      <c r="B334" s="5"/>
      <c r="C334" s="5"/>
      <c r="D334" s="5"/>
      <c r="E334" s="6" t="s">
        <v>111</v>
      </c>
      <c r="F334" s="6" t="s">
        <v>7</v>
      </c>
      <c r="G334" s="190"/>
      <c r="H334" s="190"/>
      <c r="I334" s="190"/>
      <c r="J334" s="190"/>
      <c r="K334" s="190"/>
    </row>
    <row r="335" ht="15.75" spans="1:11">
      <c r="A335" s="6" t="s">
        <v>146</v>
      </c>
      <c r="B335" s="191"/>
      <c r="C335" s="191"/>
      <c r="D335" s="191"/>
      <c r="E335" s="6" t="s">
        <v>111</v>
      </c>
      <c r="F335" s="6" t="s">
        <v>5</v>
      </c>
      <c r="G335" s="120"/>
      <c r="H335" s="120"/>
      <c r="I335" s="120"/>
      <c r="J335" s="120"/>
      <c r="K335" s="120"/>
    </row>
    <row r="336" spans="1:11">
      <c r="A336" s="120"/>
      <c r="B336" s="120"/>
      <c r="C336" s="120"/>
      <c r="D336" s="120"/>
      <c r="E336" s="120"/>
      <c r="F336" s="120"/>
      <c r="G336" s="120"/>
      <c r="H336" s="120"/>
      <c r="I336" s="120"/>
      <c r="J336" s="120"/>
      <c r="K336" s="120"/>
    </row>
    <row r="337" ht="15.75" spans="1:11">
      <c r="A337" s="6" t="s">
        <v>147</v>
      </c>
      <c r="B337" s="120"/>
      <c r="C337" s="120"/>
      <c r="D337" s="120"/>
      <c r="E337" s="120"/>
      <c r="F337" s="120"/>
      <c r="G337" s="120"/>
      <c r="H337" s="120"/>
      <c r="I337" s="120"/>
      <c r="J337" s="120"/>
      <c r="K337" s="120"/>
    </row>
    <row r="338" ht="15.75" spans="1:11">
      <c r="A338" s="192" t="s">
        <v>148</v>
      </c>
      <c r="B338" s="193"/>
      <c r="C338" s="193" t="s">
        <v>116</v>
      </c>
      <c r="D338" s="194" t="s">
        <v>117</v>
      </c>
      <c r="E338" s="192" t="s">
        <v>119</v>
      </c>
      <c r="F338" s="195"/>
      <c r="G338" s="195"/>
      <c r="H338" s="195"/>
      <c r="I338" s="195"/>
      <c r="J338" s="195"/>
      <c r="K338" s="193"/>
    </row>
    <row r="339" ht="30" customHeight="1" spans="1:11">
      <c r="A339" s="210" t="s">
        <v>158</v>
      </c>
      <c r="B339" s="210"/>
      <c r="C339" s="211">
        <v>75</v>
      </c>
      <c r="D339" s="211">
        <v>100</v>
      </c>
      <c r="E339" s="212" t="s">
        <v>159</v>
      </c>
      <c r="F339" s="213"/>
      <c r="G339" s="213"/>
      <c r="H339" s="213"/>
      <c r="I339" s="213"/>
      <c r="J339" s="213"/>
      <c r="K339" s="215"/>
    </row>
    <row r="340" ht="30" customHeight="1" spans="1:11">
      <c r="A340" s="210" t="s">
        <v>160</v>
      </c>
      <c r="B340" s="210"/>
      <c r="C340" s="211">
        <v>75</v>
      </c>
      <c r="D340" s="211">
        <v>100</v>
      </c>
      <c r="E340" s="212" t="s">
        <v>161</v>
      </c>
      <c r="F340" s="213"/>
      <c r="G340" s="213"/>
      <c r="H340" s="213"/>
      <c r="I340" s="213"/>
      <c r="J340" s="213"/>
      <c r="K340" s="215"/>
    </row>
    <row r="341" ht="30" customHeight="1" spans="1:11">
      <c r="A341" s="210" t="s">
        <v>162</v>
      </c>
      <c r="B341" s="210"/>
      <c r="C341" s="211">
        <v>75</v>
      </c>
      <c r="D341" s="211">
        <v>100</v>
      </c>
      <c r="E341" s="212" t="s">
        <v>163</v>
      </c>
      <c r="F341" s="213"/>
      <c r="G341" s="213"/>
      <c r="H341" s="213"/>
      <c r="I341" s="213"/>
      <c r="J341" s="213"/>
      <c r="K341" s="215"/>
    </row>
    <row r="342" spans="1:11">
      <c r="A342" s="120"/>
      <c r="B342" s="120"/>
      <c r="C342" s="120"/>
      <c r="D342" s="120"/>
      <c r="E342" s="120"/>
      <c r="F342" s="120"/>
      <c r="G342" s="120"/>
      <c r="H342" s="120"/>
      <c r="I342" s="120"/>
      <c r="J342" s="120"/>
      <c r="K342" s="120"/>
    </row>
    <row r="343" ht="15.75" spans="1:11">
      <c r="A343" s="6" t="s">
        <v>152</v>
      </c>
      <c r="B343" s="120"/>
      <c r="C343" s="120"/>
      <c r="D343" s="120"/>
      <c r="E343" s="120"/>
      <c r="F343" s="120"/>
      <c r="G343" s="120"/>
      <c r="H343" s="120"/>
      <c r="I343" s="120"/>
      <c r="J343" s="120"/>
      <c r="K343" s="120"/>
    </row>
    <row r="344" ht="15.75" spans="1:11">
      <c r="A344" s="192" t="s">
        <v>148</v>
      </c>
      <c r="B344" s="193"/>
      <c r="C344" s="193" t="s">
        <v>116</v>
      </c>
      <c r="D344" s="194" t="s">
        <v>117</v>
      </c>
      <c r="E344" s="192" t="s">
        <v>119</v>
      </c>
      <c r="F344" s="195"/>
      <c r="G344" s="195"/>
      <c r="H344" s="195"/>
      <c r="I344" s="195"/>
      <c r="J344" s="195"/>
      <c r="K344" s="193"/>
    </row>
    <row r="345" ht="30" customHeight="1" spans="1:11">
      <c r="A345" s="210" t="s">
        <v>158</v>
      </c>
      <c r="B345" s="210"/>
      <c r="C345" s="211">
        <v>75</v>
      </c>
      <c r="D345" s="211">
        <v>100</v>
      </c>
      <c r="E345" s="212" t="s">
        <v>159</v>
      </c>
      <c r="F345" s="213"/>
      <c r="G345" s="213"/>
      <c r="H345" s="213"/>
      <c r="I345" s="213"/>
      <c r="J345" s="213"/>
      <c r="K345" s="215"/>
    </row>
    <row r="346" ht="30" customHeight="1" spans="1:11">
      <c r="A346" s="210" t="s">
        <v>160</v>
      </c>
      <c r="B346" s="210"/>
      <c r="C346" s="211">
        <v>75</v>
      </c>
      <c r="D346" s="211">
        <v>100</v>
      </c>
      <c r="E346" s="212" t="s">
        <v>161</v>
      </c>
      <c r="F346" s="213"/>
      <c r="G346" s="213"/>
      <c r="H346" s="213"/>
      <c r="I346" s="213"/>
      <c r="J346" s="213"/>
      <c r="K346" s="215"/>
    </row>
    <row r="347" ht="30" customHeight="1" spans="1:11">
      <c r="A347" s="210" t="s">
        <v>162</v>
      </c>
      <c r="B347" s="210"/>
      <c r="C347" s="211">
        <v>75</v>
      </c>
      <c r="D347" s="211">
        <v>100</v>
      </c>
      <c r="E347" s="212" t="s">
        <v>163</v>
      </c>
      <c r="F347" s="213"/>
      <c r="G347" s="213"/>
      <c r="H347" s="213"/>
      <c r="I347" s="213"/>
      <c r="J347" s="213"/>
      <c r="K347" s="215"/>
    </row>
    <row r="348" spans="1:11">
      <c r="A348" s="120"/>
      <c r="B348" s="120"/>
      <c r="C348" s="120"/>
      <c r="D348" s="120"/>
      <c r="E348" s="120"/>
      <c r="F348" s="120"/>
      <c r="G348" s="120"/>
      <c r="H348" s="120"/>
      <c r="I348" s="120"/>
      <c r="J348" s="120"/>
      <c r="K348" s="120"/>
    </row>
    <row r="349" customHeight="1" spans="1:11">
      <c r="A349" s="120"/>
      <c r="B349" s="120"/>
      <c r="C349" s="120"/>
      <c r="D349" s="120"/>
      <c r="E349" s="120"/>
      <c r="F349" s="120"/>
      <c r="G349" s="120"/>
      <c r="H349" s="120"/>
      <c r="I349" s="120"/>
      <c r="J349" s="120"/>
      <c r="K349" s="120"/>
    </row>
    <row r="350" spans="1:11">
      <c r="A350" s="120" t="s">
        <v>137</v>
      </c>
      <c r="B350" s="120"/>
      <c r="C350" s="120"/>
      <c r="D350" s="120"/>
      <c r="E350" s="120"/>
      <c r="F350" s="120"/>
      <c r="G350" s="120"/>
      <c r="H350" s="120"/>
      <c r="I350" s="120" t="s">
        <v>138</v>
      </c>
      <c r="J350" s="120"/>
      <c r="K350" s="120"/>
    </row>
    <row r="351" spans="1:11">
      <c r="A351" s="120" t="s">
        <v>139</v>
      </c>
      <c r="B351" s="120"/>
      <c r="C351" s="120"/>
      <c r="D351" s="120"/>
      <c r="E351" s="120"/>
      <c r="F351" s="120"/>
      <c r="G351" s="120"/>
      <c r="H351" s="120"/>
      <c r="I351" s="120" t="s">
        <v>164</v>
      </c>
      <c r="J351" s="120"/>
      <c r="K351" s="120"/>
    </row>
    <row r="352" spans="1:11">
      <c r="A352" s="120"/>
      <c r="B352" s="120"/>
      <c r="C352" s="120"/>
      <c r="D352" s="120"/>
      <c r="E352" s="120"/>
      <c r="F352" s="120"/>
      <c r="G352" s="120"/>
      <c r="H352" s="120"/>
      <c r="I352" s="120"/>
      <c r="J352" s="120"/>
      <c r="K352" s="120"/>
    </row>
    <row r="353" spans="1:11">
      <c r="A353" s="120"/>
      <c r="B353" s="120"/>
      <c r="C353" s="120"/>
      <c r="D353" s="120"/>
      <c r="E353" s="120"/>
      <c r="F353" s="120"/>
      <c r="G353" s="120"/>
      <c r="H353" s="120"/>
      <c r="I353" s="120"/>
      <c r="J353" s="120"/>
      <c r="K353" s="120"/>
    </row>
    <row r="354" ht="15.75" spans="1:11">
      <c r="A354" s="122">
        <f>'DATA SISWA'!M17</f>
        <v>0</v>
      </c>
      <c r="B354" s="120"/>
      <c r="C354" s="120"/>
      <c r="D354" s="120"/>
      <c r="E354" s="120"/>
      <c r="F354" s="120"/>
      <c r="G354" s="120"/>
      <c r="H354" s="120"/>
      <c r="I354" s="53" t="s">
        <v>165</v>
      </c>
      <c r="J354" s="120"/>
      <c r="K354" s="120"/>
    </row>
    <row r="355" ht="15.75" spans="1:11">
      <c r="A355" s="120"/>
      <c r="B355" s="120"/>
      <c r="C355" s="120"/>
      <c r="D355" s="120"/>
      <c r="E355" s="120"/>
      <c r="F355" s="120"/>
      <c r="G355" s="120"/>
      <c r="H355" s="120"/>
      <c r="I355" s="6" t="s">
        <v>166</v>
      </c>
      <c r="J355" s="120"/>
      <c r="K355" s="120"/>
    </row>
    <row r="356" spans="1:11">
      <c r="A356" s="120"/>
      <c r="B356" s="120"/>
      <c r="C356" s="120"/>
      <c r="D356" s="214" t="s">
        <v>142</v>
      </c>
      <c r="E356" s="214"/>
      <c r="F356" s="214"/>
      <c r="G356" s="120"/>
      <c r="H356" s="120"/>
      <c r="I356" s="120"/>
      <c r="J356" s="120"/>
      <c r="K356" s="120"/>
    </row>
    <row r="357" spans="1:11">
      <c r="A357" s="120"/>
      <c r="B357" s="120"/>
      <c r="C357" s="120"/>
      <c r="D357" s="120"/>
      <c r="E357" s="120"/>
      <c r="F357" s="120"/>
      <c r="G357" s="120"/>
      <c r="H357" s="120"/>
      <c r="I357" s="120"/>
      <c r="J357" s="120"/>
      <c r="K357" s="120"/>
    </row>
    <row r="358" spans="1:11">
      <c r="A358" s="120"/>
      <c r="B358" s="120"/>
      <c r="C358" s="120"/>
      <c r="D358" s="120"/>
      <c r="E358" s="120"/>
      <c r="F358" s="120"/>
      <c r="G358" s="120"/>
      <c r="H358" s="120"/>
      <c r="I358" s="120"/>
      <c r="J358" s="120"/>
      <c r="K358" s="120"/>
    </row>
    <row r="359" ht="15.75" spans="1:11">
      <c r="A359" s="120"/>
      <c r="B359" s="120"/>
      <c r="C359" s="120"/>
      <c r="D359" s="54" t="s">
        <v>144</v>
      </c>
      <c r="E359" s="54"/>
      <c r="F359" s="54"/>
      <c r="G359" s="120"/>
      <c r="H359" s="120"/>
      <c r="I359" s="120"/>
      <c r="J359" s="120"/>
      <c r="K359" s="120"/>
    </row>
    <row r="360" ht="15.75" spans="1:11">
      <c r="A360" s="120"/>
      <c r="B360" s="120"/>
      <c r="C360" s="120"/>
      <c r="D360" s="202" t="s">
        <v>145</v>
      </c>
      <c r="E360" s="202"/>
      <c r="F360" s="202"/>
      <c r="G360" s="120"/>
      <c r="H360" s="120"/>
      <c r="I360" s="120"/>
      <c r="J360" s="120"/>
      <c r="K360" s="120"/>
    </row>
    <row r="364" spans="1:11">
      <c r="A364" s="120"/>
      <c r="B364" s="120"/>
      <c r="C364" s="120"/>
      <c r="D364" s="120"/>
      <c r="E364" s="120"/>
      <c r="F364" s="120"/>
      <c r="G364" s="120"/>
      <c r="H364" s="120"/>
      <c r="I364" s="120"/>
      <c r="J364" s="120"/>
      <c r="K364" s="120"/>
    </row>
    <row r="365" ht="15.75" spans="1:11">
      <c r="A365" s="120"/>
      <c r="B365" s="208" t="s">
        <v>109</v>
      </c>
      <c r="C365" s="208"/>
      <c r="D365" s="208"/>
      <c r="E365" s="208"/>
      <c r="F365" s="208"/>
      <c r="G365" s="208"/>
      <c r="H365" s="208"/>
      <c r="I365" s="208"/>
      <c r="J365" s="203"/>
      <c r="K365" s="204"/>
    </row>
    <row r="366" ht="15.75" spans="1:11">
      <c r="A366" s="120"/>
      <c r="B366" s="208"/>
      <c r="C366" s="208"/>
      <c r="D366" s="208"/>
      <c r="E366" s="208"/>
      <c r="F366" s="208"/>
      <c r="G366" s="208"/>
      <c r="H366" s="208"/>
      <c r="I366" s="208"/>
      <c r="J366" s="203"/>
      <c r="K366" s="204"/>
    </row>
    <row r="367" ht="15.75" spans="1:11">
      <c r="A367" s="120"/>
      <c r="B367" s="208"/>
      <c r="C367" s="208"/>
      <c r="D367" s="208"/>
      <c r="E367" s="208"/>
      <c r="F367" s="208"/>
      <c r="G367" s="208"/>
      <c r="H367" s="208"/>
      <c r="I367" s="208"/>
      <c r="J367" s="203"/>
      <c r="K367" s="204"/>
    </row>
    <row r="368" ht="16.5" spans="1:11">
      <c r="A368" s="188"/>
      <c r="B368" s="209"/>
      <c r="C368" s="209"/>
      <c r="D368" s="209"/>
      <c r="E368" s="209"/>
      <c r="F368" s="209"/>
      <c r="G368" s="209"/>
      <c r="H368" s="209"/>
      <c r="I368" s="209"/>
      <c r="J368" s="205"/>
      <c r="K368" s="188"/>
    </row>
    <row r="369" ht="15.75" spans="1:11">
      <c r="A369" s="120"/>
      <c r="B369" s="120"/>
      <c r="C369" s="120"/>
      <c r="D369" s="120"/>
      <c r="E369" s="120"/>
      <c r="F369" s="120"/>
      <c r="G369" s="120"/>
      <c r="H369" s="120"/>
      <c r="I369" s="120"/>
      <c r="J369" s="120"/>
      <c r="K369" s="120"/>
    </row>
    <row r="370" ht="15.75" spans="1:11">
      <c r="A370" s="5" t="s">
        <v>110</v>
      </c>
      <c r="B370" s="5"/>
      <c r="C370" s="5"/>
      <c r="D370" s="5"/>
      <c r="E370" s="6" t="s">
        <v>111</v>
      </c>
      <c r="F370" s="6">
        <f>'DATA SISWA'!B18</f>
        <v>0</v>
      </c>
      <c r="G370" s="120"/>
      <c r="H370" s="120"/>
      <c r="I370" s="120"/>
      <c r="J370" s="120"/>
      <c r="K370" s="120"/>
    </row>
    <row r="371" ht="15.75" spans="1:11">
      <c r="A371" s="5" t="s">
        <v>112</v>
      </c>
      <c r="B371" s="5"/>
      <c r="C371" s="5"/>
      <c r="D371" s="5"/>
      <c r="E371" s="6" t="s">
        <v>111</v>
      </c>
      <c r="F371" s="6" t="s">
        <v>1</v>
      </c>
      <c r="G371" s="120"/>
      <c r="H371" s="120"/>
      <c r="I371" s="120"/>
      <c r="J371" s="120"/>
      <c r="K371" s="120"/>
    </row>
    <row r="372" ht="15.75" spans="1:11">
      <c r="A372" s="5" t="s">
        <v>113</v>
      </c>
      <c r="B372" s="5"/>
      <c r="C372" s="5"/>
      <c r="D372" s="5"/>
      <c r="E372" s="6" t="s">
        <v>111</v>
      </c>
      <c r="F372" s="6" t="s">
        <v>157</v>
      </c>
      <c r="G372" s="190"/>
      <c r="H372" s="190"/>
      <c r="I372" s="190"/>
      <c r="J372" s="190"/>
      <c r="K372" s="190"/>
    </row>
    <row r="373" ht="15.75" spans="1:11">
      <c r="A373" s="5" t="s">
        <v>114</v>
      </c>
      <c r="B373" s="5"/>
      <c r="C373" s="5"/>
      <c r="D373" s="5"/>
      <c r="E373" s="6" t="s">
        <v>111</v>
      </c>
      <c r="F373" s="6" t="s">
        <v>7</v>
      </c>
      <c r="G373" s="190"/>
      <c r="H373" s="190"/>
      <c r="I373" s="190"/>
      <c r="J373" s="190"/>
      <c r="K373" s="190"/>
    </row>
    <row r="374" ht="15.75" spans="1:11">
      <c r="A374" s="6" t="s">
        <v>146</v>
      </c>
      <c r="B374" s="191"/>
      <c r="C374" s="191"/>
      <c r="D374" s="191"/>
      <c r="E374" s="6" t="s">
        <v>111</v>
      </c>
      <c r="F374" s="6" t="s">
        <v>5</v>
      </c>
      <c r="G374" s="120"/>
      <c r="H374" s="120"/>
      <c r="I374" s="120"/>
      <c r="J374" s="120"/>
      <c r="K374" s="120"/>
    </row>
    <row r="375" spans="1:11">
      <c r="A375" s="120"/>
      <c r="B375" s="120"/>
      <c r="C375" s="120"/>
      <c r="D375" s="120"/>
      <c r="E375" s="120"/>
      <c r="F375" s="120"/>
      <c r="G375" s="120"/>
      <c r="H375" s="120"/>
      <c r="I375" s="120"/>
      <c r="J375" s="120"/>
      <c r="K375" s="120"/>
    </row>
    <row r="376" ht="15.75" spans="1:11">
      <c r="A376" s="6" t="s">
        <v>147</v>
      </c>
      <c r="B376" s="120"/>
      <c r="C376" s="120"/>
      <c r="D376" s="120"/>
      <c r="E376" s="120"/>
      <c r="F376" s="120"/>
      <c r="G376" s="120"/>
      <c r="H376" s="120"/>
      <c r="I376" s="120"/>
      <c r="J376" s="120"/>
      <c r="K376" s="120"/>
    </row>
    <row r="377" ht="15.75" spans="1:11">
      <c r="A377" s="192" t="s">
        <v>148</v>
      </c>
      <c r="B377" s="193"/>
      <c r="C377" s="193" t="s">
        <v>116</v>
      </c>
      <c r="D377" s="194" t="s">
        <v>117</v>
      </c>
      <c r="E377" s="192" t="s">
        <v>119</v>
      </c>
      <c r="F377" s="195"/>
      <c r="G377" s="195"/>
      <c r="H377" s="195"/>
      <c r="I377" s="195"/>
      <c r="J377" s="195"/>
      <c r="K377" s="193"/>
    </row>
    <row r="378" ht="30" customHeight="1" spans="1:11">
      <c r="A378" s="210" t="s">
        <v>158</v>
      </c>
      <c r="B378" s="210"/>
      <c r="C378" s="211">
        <v>75</v>
      </c>
      <c r="D378" s="211">
        <v>100</v>
      </c>
      <c r="E378" s="212" t="s">
        <v>159</v>
      </c>
      <c r="F378" s="213"/>
      <c r="G378" s="213"/>
      <c r="H378" s="213"/>
      <c r="I378" s="213"/>
      <c r="J378" s="213"/>
      <c r="K378" s="215"/>
    </row>
    <row r="379" ht="30" customHeight="1" spans="1:13">
      <c r="A379" s="210" t="s">
        <v>160</v>
      </c>
      <c r="B379" s="210"/>
      <c r="C379" s="211">
        <v>75</v>
      </c>
      <c r="D379" s="211">
        <v>100</v>
      </c>
      <c r="E379" s="212" t="s">
        <v>161</v>
      </c>
      <c r="F379" s="213"/>
      <c r="G379" s="213"/>
      <c r="H379" s="213"/>
      <c r="I379" s="213"/>
      <c r="J379" s="213"/>
      <c r="K379" s="215"/>
      <c r="M379" s="216" t="s">
        <v>167</v>
      </c>
    </row>
    <row r="380" ht="30" customHeight="1" spans="1:11">
      <c r="A380" s="210" t="s">
        <v>162</v>
      </c>
      <c r="B380" s="210"/>
      <c r="C380" s="211">
        <v>75</v>
      </c>
      <c r="D380" s="211">
        <v>100</v>
      </c>
      <c r="E380" s="212" t="s">
        <v>163</v>
      </c>
      <c r="F380" s="213"/>
      <c r="G380" s="213"/>
      <c r="H380" s="213"/>
      <c r="I380" s="213"/>
      <c r="J380" s="213"/>
      <c r="K380" s="215"/>
    </row>
    <row r="381" spans="1:11">
      <c r="A381" s="120"/>
      <c r="B381" s="120"/>
      <c r="C381" s="120"/>
      <c r="D381" s="120"/>
      <c r="E381" s="120"/>
      <c r="F381" s="120"/>
      <c r="G381" s="120"/>
      <c r="H381" s="120"/>
      <c r="I381" s="120"/>
      <c r="J381" s="120"/>
      <c r="K381" s="120"/>
    </row>
    <row r="382" ht="15.75" spans="1:11">
      <c r="A382" s="6" t="s">
        <v>152</v>
      </c>
      <c r="B382" s="120"/>
      <c r="C382" s="120"/>
      <c r="D382" s="120"/>
      <c r="E382" s="120"/>
      <c r="F382" s="120"/>
      <c r="G382" s="120"/>
      <c r="H382" s="120"/>
      <c r="I382" s="120"/>
      <c r="J382" s="120"/>
      <c r="K382" s="120"/>
    </row>
    <row r="383" ht="15.75" spans="1:11">
      <c r="A383" s="192" t="s">
        <v>148</v>
      </c>
      <c r="B383" s="193"/>
      <c r="C383" s="193" t="s">
        <v>116</v>
      </c>
      <c r="D383" s="194" t="s">
        <v>117</v>
      </c>
      <c r="E383" s="192" t="s">
        <v>119</v>
      </c>
      <c r="F383" s="195"/>
      <c r="G383" s="195"/>
      <c r="H383" s="195"/>
      <c r="I383" s="195"/>
      <c r="J383" s="195"/>
      <c r="K383" s="193"/>
    </row>
    <row r="384" ht="30" customHeight="1" spans="1:11">
      <c r="A384" s="210" t="s">
        <v>158</v>
      </c>
      <c r="B384" s="210"/>
      <c r="C384" s="211">
        <v>75</v>
      </c>
      <c r="D384" s="211">
        <v>100</v>
      </c>
      <c r="E384" s="212" t="s">
        <v>159</v>
      </c>
      <c r="F384" s="213"/>
      <c r="G384" s="213"/>
      <c r="H384" s="213"/>
      <c r="I384" s="213"/>
      <c r="J384" s="213"/>
      <c r="K384" s="215"/>
    </row>
    <row r="385" ht="30" customHeight="1" spans="1:11">
      <c r="A385" s="210" t="s">
        <v>160</v>
      </c>
      <c r="B385" s="210"/>
      <c r="C385" s="211">
        <v>75</v>
      </c>
      <c r="D385" s="211">
        <v>100</v>
      </c>
      <c r="E385" s="212" t="s">
        <v>161</v>
      </c>
      <c r="F385" s="213"/>
      <c r="G385" s="213"/>
      <c r="H385" s="213"/>
      <c r="I385" s="213"/>
      <c r="J385" s="213"/>
      <c r="K385" s="215"/>
    </row>
    <row r="386" ht="30" customHeight="1" spans="1:11">
      <c r="A386" s="210" t="s">
        <v>162</v>
      </c>
      <c r="B386" s="210"/>
      <c r="C386" s="211">
        <v>75</v>
      </c>
      <c r="D386" s="211">
        <v>100</v>
      </c>
      <c r="E386" s="212" t="s">
        <v>163</v>
      </c>
      <c r="F386" s="213"/>
      <c r="G386" s="213"/>
      <c r="H386" s="213"/>
      <c r="I386" s="213"/>
      <c r="J386" s="213"/>
      <c r="K386" s="215"/>
    </row>
    <row r="387" spans="1:11">
      <c r="A387" s="120"/>
      <c r="B387" s="120"/>
      <c r="C387" s="120"/>
      <c r="D387" s="120"/>
      <c r="E387" s="120"/>
      <c r="F387" s="120"/>
      <c r="G387" s="120"/>
      <c r="H387" s="120"/>
      <c r="I387" s="120"/>
      <c r="J387" s="120"/>
      <c r="K387" s="120"/>
    </row>
    <row r="388" customHeight="1" spans="1:11">
      <c r="A388" s="120"/>
      <c r="B388" s="120"/>
      <c r="C388" s="120"/>
      <c r="D388" s="120"/>
      <c r="E388" s="120"/>
      <c r="F388" s="120"/>
      <c r="G388" s="120"/>
      <c r="H388" s="120"/>
      <c r="I388" s="120"/>
      <c r="J388" s="120"/>
      <c r="K388" s="120"/>
    </row>
    <row r="389" spans="1:11">
      <c r="A389" s="120" t="s">
        <v>137</v>
      </c>
      <c r="B389" s="120"/>
      <c r="C389" s="120"/>
      <c r="D389" s="120"/>
      <c r="E389" s="120"/>
      <c r="F389" s="120"/>
      <c r="G389" s="120"/>
      <c r="H389" s="120"/>
      <c r="I389" s="120" t="s">
        <v>138</v>
      </c>
      <c r="J389" s="120"/>
      <c r="K389" s="120"/>
    </row>
    <row r="390" spans="1:11">
      <c r="A390" s="120" t="s">
        <v>139</v>
      </c>
      <c r="B390" s="120"/>
      <c r="C390" s="120"/>
      <c r="D390" s="120"/>
      <c r="E390" s="120"/>
      <c r="F390" s="120"/>
      <c r="G390" s="120"/>
      <c r="H390" s="120"/>
      <c r="I390" s="120" t="s">
        <v>164</v>
      </c>
      <c r="J390" s="120"/>
      <c r="K390" s="120"/>
    </row>
    <row r="391" spans="1:11">
      <c r="A391" s="120"/>
      <c r="B391" s="120"/>
      <c r="C391" s="120"/>
      <c r="D391" s="120"/>
      <c r="E391" s="120"/>
      <c r="F391" s="120"/>
      <c r="G391" s="120"/>
      <c r="H391" s="120"/>
      <c r="I391" s="120"/>
      <c r="J391" s="120"/>
      <c r="K391" s="120"/>
    </row>
    <row r="392" spans="1:11">
      <c r="A392" s="120"/>
      <c r="B392" s="120"/>
      <c r="C392" s="120"/>
      <c r="D392" s="120"/>
      <c r="E392" s="120"/>
      <c r="F392" s="120"/>
      <c r="G392" s="120"/>
      <c r="H392" s="120"/>
      <c r="I392" s="120"/>
      <c r="J392" s="120"/>
      <c r="K392" s="120"/>
    </row>
    <row r="393" ht="15.75" spans="1:11">
      <c r="A393" s="122">
        <f>'DATA SISWA'!M18</f>
        <v>0</v>
      </c>
      <c r="B393" s="120"/>
      <c r="C393" s="120"/>
      <c r="D393" s="120"/>
      <c r="E393" s="120"/>
      <c r="F393" s="120"/>
      <c r="G393" s="120"/>
      <c r="H393" s="120"/>
      <c r="I393" s="53" t="s">
        <v>165</v>
      </c>
      <c r="J393" s="120"/>
      <c r="K393" s="120"/>
    </row>
    <row r="394" ht="15.75" spans="1:11">
      <c r="A394" s="120"/>
      <c r="B394" s="120"/>
      <c r="C394" s="120"/>
      <c r="D394" s="120"/>
      <c r="E394" s="120"/>
      <c r="F394" s="120"/>
      <c r="G394" s="120"/>
      <c r="H394" s="120"/>
      <c r="I394" s="6" t="s">
        <v>166</v>
      </c>
      <c r="J394" s="120"/>
      <c r="K394" s="120"/>
    </row>
    <row r="395" spans="1:11">
      <c r="A395" s="120"/>
      <c r="B395" s="120"/>
      <c r="C395" s="120"/>
      <c r="D395" s="214" t="s">
        <v>142</v>
      </c>
      <c r="E395" s="214"/>
      <c r="F395" s="214"/>
      <c r="G395" s="120"/>
      <c r="H395" s="120"/>
      <c r="I395" s="120"/>
      <c r="J395" s="120"/>
      <c r="K395" s="120"/>
    </row>
    <row r="396" spans="1:11">
      <c r="A396" s="120"/>
      <c r="B396" s="120"/>
      <c r="C396" s="120"/>
      <c r="D396" s="120"/>
      <c r="E396" s="120"/>
      <c r="F396" s="120"/>
      <c r="G396" s="120"/>
      <c r="H396" s="120"/>
      <c r="I396" s="120"/>
      <c r="J396" s="120"/>
      <c r="K396" s="120"/>
    </row>
    <row r="397" spans="1:11">
      <c r="A397" s="120"/>
      <c r="B397" s="120"/>
      <c r="C397" s="120"/>
      <c r="D397" s="120"/>
      <c r="E397" s="120"/>
      <c r="F397" s="120"/>
      <c r="G397" s="120"/>
      <c r="H397" s="120"/>
      <c r="I397" s="120"/>
      <c r="J397" s="120"/>
      <c r="K397" s="120"/>
    </row>
    <row r="398" ht="15.75" spans="1:11">
      <c r="A398" s="120"/>
      <c r="B398" s="120"/>
      <c r="C398" s="120"/>
      <c r="D398" s="54" t="s">
        <v>144</v>
      </c>
      <c r="E398" s="54"/>
      <c r="F398" s="54"/>
      <c r="G398" s="120"/>
      <c r="H398" s="120"/>
      <c r="I398" s="120"/>
      <c r="J398" s="120"/>
      <c r="K398" s="120"/>
    </row>
    <row r="399" ht="15.75" spans="1:11">
      <c r="A399" s="120"/>
      <c r="B399" s="120"/>
      <c r="C399" s="120"/>
      <c r="D399" s="202" t="s">
        <v>145</v>
      </c>
      <c r="E399" s="202"/>
      <c r="F399" s="202"/>
      <c r="G399" s="120"/>
      <c r="H399" s="120"/>
      <c r="I399" s="120"/>
      <c r="J399" s="120"/>
      <c r="K399" s="120"/>
    </row>
  </sheetData>
  <mergeCells count="256">
    <mergeCell ref="A8:D8"/>
    <mergeCell ref="A9:D9"/>
    <mergeCell ref="A10:D10"/>
    <mergeCell ref="A11:D11"/>
    <mergeCell ref="A15:B15"/>
    <mergeCell ref="E15:K15"/>
    <mergeCell ref="A16:B16"/>
    <mergeCell ref="E16:K16"/>
    <mergeCell ref="A17:B17"/>
    <mergeCell ref="E17:K17"/>
    <mergeCell ref="A18:B18"/>
    <mergeCell ref="E18:K18"/>
    <mergeCell ref="A21:B21"/>
    <mergeCell ref="E21:K21"/>
    <mergeCell ref="A22:B22"/>
    <mergeCell ref="E22:K22"/>
    <mergeCell ref="A23:B23"/>
    <mergeCell ref="E23:K23"/>
    <mergeCell ref="A24:B24"/>
    <mergeCell ref="E24:K24"/>
    <mergeCell ref="A25:B25"/>
    <mergeCell ref="E25:K25"/>
    <mergeCell ref="D34:F34"/>
    <mergeCell ref="D37:F37"/>
    <mergeCell ref="D38:F38"/>
    <mergeCell ref="A49:D49"/>
    <mergeCell ref="A50:D50"/>
    <mergeCell ref="A51:D51"/>
    <mergeCell ref="A52:D52"/>
    <mergeCell ref="A56:B56"/>
    <mergeCell ref="E56:K56"/>
    <mergeCell ref="A57:B57"/>
    <mergeCell ref="E57:K57"/>
    <mergeCell ref="A58:B58"/>
    <mergeCell ref="E58:K58"/>
    <mergeCell ref="A59:B59"/>
    <mergeCell ref="E59:K59"/>
    <mergeCell ref="A62:B62"/>
    <mergeCell ref="E62:K62"/>
    <mergeCell ref="A63:B63"/>
    <mergeCell ref="E63:K63"/>
    <mergeCell ref="A64:B64"/>
    <mergeCell ref="E64:K64"/>
    <mergeCell ref="A65:B65"/>
    <mergeCell ref="E65:K65"/>
    <mergeCell ref="A66:B66"/>
    <mergeCell ref="E66:K66"/>
    <mergeCell ref="D76:F76"/>
    <mergeCell ref="D79:F79"/>
    <mergeCell ref="D80:F80"/>
    <mergeCell ref="A91:D91"/>
    <mergeCell ref="A92:D92"/>
    <mergeCell ref="A93:D93"/>
    <mergeCell ref="A94:D94"/>
    <mergeCell ref="A98:B98"/>
    <mergeCell ref="E98:K98"/>
    <mergeCell ref="A99:B99"/>
    <mergeCell ref="E99:K99"/>
    <mergeCell ref="A100:B100"/>
    <mergeCell ref="E100:K100"/>
    <mergeCell ref="A101:B101"/>
    <mergeCell ref="E101:K101"/>
    <mergeCell ref="A104:B104"/>
    <mergeCell ref="E104:K104"/>
    <mergeCell ref="A105:B105"/>
    <mergeCell ref="E105:K105"/>
    <mergeCell ref="A106:B106"/>
    <mergeCell ref="E106:K106"/>
    <mergeCell ref="A107:B107"/>
    <mergeCell ref="E107:K107"/>
    <mergeCell ref="A108:B108"/>
    <mergeCell ref="E108:K108"/>
    <mergeCell ref="D117:F117"/>
    <mergeCell ref="D120:F120"/>
    <mergeCell ref="D121:F121"/>
    <mergeCell ref="A131:D131"/>
    <mergeCell ref="A132:D132"/>
    <mergeCell ref="A133:D133"/>
    <mergeCell ref="A134:D134"/>
    <mergeCell ref="A138:B138"/>
    <mergeCell ref="E138:K138"/>
    <mergeCell ref="A139:B139"/>
    <mergeCell ref="E139:K139"/>
    <mergeCell ref="A140:B140"/>
    <mergeCell ref="E140:K140"/>
    <mergeCell ref="A141:B141"/>
    <mergeCell ref="E141:K141"/>
    <mergeCell ref="A144:B144"/>
    <mergeCell ref="E144:K144"/>
    <mergeCell ref="A145:B145"/>
    <mergeCell ref="E145:K145"/>
    <mergeCell ref="A146:B146"/>
    <mergeCell ref="E146:K146"/>
    <mergeCell ref="A147:B147"/>
    <mergeCell ref="E147:K147"/>
    <mergeCell ref="A148:B148"/>
    <mergeCell ref="E148:K148"/>
    <mergeCell ref="D157:F157"/>
    <mergeCell ref="D160:F160"/>
    <mergeCell ref="D161:F161"/>
    <mergeCell ref="A171:D171"/>
    <mergeCell ref="A172:D172"/>
    <mergeCell ref="A173:D173"/>
    <mergeCell ref="A174:D174"/>
    <mergeCell ref="A178:B178"/>
    <mergeCell ref="E178:K178"/>
    <mergeCell ref="A179:B179"/>
    <mergeCell ref="E179:K179"/>
    <mergeCell ref="A180:B180"/>
    <mergeCell ref="E180:K180"/>
    <mergeCell ref="A181:B181"/>
    <mergeCell ref="E181:K181"/>
    <mergeCell ref="A184:B184"/>
    <mergeCell ref="E184:K184"/>
    <mergeCell ref="A185:B185"/>
    <mergeCell ref="E185:K185"/>
    <mergeCell ref="A186:B186"/>
    <mergeCell ref="E186:K186"/>
    <mergeCell ref="A187:B187"/>
    <mergeCell ref="E187:K187"/>
    <mergeCell ref="A188:B188"/>
    <mergeCell ref="E188:K188"/>
    <mergeCell ref="D197:F197"/>
    <mergeCell ref="D200:F200"/>
    <mergeCell ref="D201:F201"/>
    <mergeCell ref="A211:D211"/>
    <mergeCell ref="A212:D212"/>
    <mergeCell ref="A213:D213"/>
    <mergeCell ref="A214:D214"/>
    <mergeCell ref="A218:B218"/>
    <mergeCell ref="E218:K218"/>
    <mergeCell ref="A219:B219"/>
    <mergeCell ref="E219:K219"/>
    <mergeCell ref="A220:B220"/>
    <mergeCell ref="E220:K220"/>
    <mergeCell ref="A221:B221"/>
    <mergeCell ref="E221:K221"/>
    <mergeCell ref="A224:B224"/>
    <mergeCell ref="E224:K224"/>
    <mergeCell ref="A225:B225"/>
    <mergeCell ref="E225:K225"/>
    <mergeCell ref="A226:B226"/>
    <mergeCell ref="E226:K226"/>
    <mergeCell ref="A227:B227"/>
    <mergeCell ref="E227:K227"/>
    <mergeCell ref="A228:B228"/>
    <mergeCell ref="E228:K228"/>
    <mergeCell ref="D237:F237"/>
    <mergeCell ref="D240:F240"/>
    <mergeCell ref="D241:F241"/>
    <mergeCell ref="A251:D251"/>
    <mergeCell ref="A252:D252"/>
    <mergeCell ref="A253:D253"/>
    <mergeCell ref="A254:D254"/>
    <mergeCell ref="A258:B258"/>
    <mergeCell ref="E258:K258"/>
    <mergeCell ref="A259:B259"/>
    <mergeCell ref="E259:K259"/>
    <mergeCell ref="A260:B260"/>
    <mergeCell ref="E260:K260"/>
    <mergeCell ref="A261:B261"/>
    <mergeCell ref="E261:K261"/>
    <mergeCell ref="A264:B264"/>
    <mergeCell ref="E264:K264"/>
    <mergeCell ref="A265:B265"/>
    <mergeCell ref="E265:K265"/>
    <mergeCell ref="A266:B266"/>
    <mergeCell ref="E266:K266"/>
    <mergeCell ref="A267:B267"/>
    <mergeCell ref="E267:K267"/>
    <mergeCell ref="A268:B268"/>
    <mergeCell ref="E268:K268"/>
    <mergeCell ref="D277:F277"/>
    <mergeCell ref="D280:F280"/>
    <mergeCell ref="D281:F281"/>
    <mergeCell ref="A291:D291"/>
    <mergeCell ref="A292:D292"/>
    <mergeCell ref="A293:D293"/>
    <mergeCell ref="A294:D294"/>
    <mergeCell ref="A298:B298"/>
    <mergeCell ref="E298:K298"/>
    <mergeCell ref="A299:B299"/>
    <mergeCell ref="E299:K299"/>
    <mergeCell ref="A300:B300"/>
    <mergeCell ref="E300:K300"/>
    <mergeCell ref="A301:B301"/>
    <mergeCell ref="E301:K301"/>
    <mergeCell ref="A304:B304"/>
    <mergeCell ref="E304:K304"/>
    <mergeCell ref="A305:B305"/>
    <mergeCell ref="E305:K305"/>
    <mergeCell ref="A306:B306"/>
    <mergeCell ref="E306:K306"/>
    <mergeCell ref="A307:B307"/>
    <mergeCell ref="E307:K307"/>
    <mergeCell ref="A308:B308"/>
    <mergeCell ref="E308:K308"/>
    <mergeCell ref="D317:F317"/>
    <mergeCell ref="D320:F320"/>
    <mergeCell ref="D321:F321"/>
    <mergeCell ref="A331:D331"/>
    <mergeCell ref="A332:D332"/>
    <mergeCell ref="A333:D333"/>
    <mergeCell ref="A334:D334"/>
    <mergeCell ref="A338:B338"/>
    <mergeCell ref="E338:K338"/>
    <mergeCell ref="A339:B339"/>
    <mergeCell ref="E339:K339"/>
    <mergeCell ref="A340:B340"/>
    <mergeCell ref="E340:K340"/>
    <mergeCell ref="A341:B341"/>
    <mergeCell ref="E341:K341"/>
    <mergeCell ref="A344:B344"/>
    <mergeCell ref="E344:K344"/>
    <mergeCell ref="A345:B345"/>
    <mergeCell ref="E345:K345"/>
    <mergeCell ref="A346:B346"/>
    <mergeCell ref="E346:K346"/>
    <mergeCell ref="A347:B347"/>
    <mergeCell ref="E347:K347"/>
    <mergeCell ref="D356:F356"/>
    <mergeCell ref="D359:F359"/>
    <mergeCell ref="D360:F360"/>
    <mergeCell ref="A370:D370"/>
    <mergeCell ref="A371:D371"/>
    <mergeCell ref="A372:D372"/>
    <mergeCell ref="A373:D373"/>
    <mergeCell ref="A377:B377"/>
    <mergeCell ref="E377:K377"/>
    <mergeCell ref="A378:B378"/>
    <mergeCell ref="E378:K378"/>
    <mergeCell ref="A379:B379"/>
    <mergeCell ref="E379:K379"/>
    <mergeCell ref="A380:B380"/>
    <mergeCell ref="E380:K380"/>
    <mergeCell ref="A383:B383"/>
    <mergeCell ref="E383:K383"/>
    <mergeCell ref="A384:B384"/>
    <mergeCell ref="E384:K384"/>
    <mergeCell ref="A385:B385"/>
    <mergeCell ref="E385:K385"/>
    <mergeCell ref="A386:B386"/>
    <mergeCell ref="E386:K386"/>
    <mergeCell ref="D395:F395"/>
    <mergeCell ref="D398:F398"/>
    <mergeCell ref="D399:F399"/>
    <mergeCell ref="B3:I6"/>
    <mergeCell ref="B44:I47"/>
    <mergeCell ref="B86:I89"/>
    <mergeCell ref="B126:I129"/>
    <mergeCell ref="B166:I169"/>
    <mergeCell ref="B206:I209"/>
    <mergeCell ref="B246:I249"/>
    <mergeCell ref="B286:I289"/>
    <mergeCell ref="B365:I368"/>
    <mergeCell ref="B326:I329"/>
  </mergeCell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3:F13"/>
  <sheetViews>
    <sheetView zoomScale="80" zoomScaleNormal="80" workbookViewId="0">
      <pane xSplit="2" topLeftCell="C1" activePane="topRight" state="frozen"/>
      <selection/>
      <selection pane="topRight" activeCell="C6" sqref="C6"/>
    </sheetView>
  </sheetViews>
  <sheetFormatPr defaultColWidth="9.14285714285714" defaultRowHeight="15" outlineLevelCol="5"/>
  <cols>
    <col min="1" max="1" width="3.42857142857143" customWidth="1"/>
    <col min="2" max="2" width="45.1428571428571" customWidth="1"/>
    <col min="3" max="6" width="50.7142857142857" customWidth="1"/>
  </cols>
  <sheetData>
    <row r="3" ht="15.75" spans="1:6">
      <c r="A3" s="177" t="s">
        <v>83</v>
      </c>
      <c r="B3" s="177" t="s">
        <v>168</v>
      </c>
      <c r="C3" s="177" t="s">
        <v>119</v>
      </c>
      <c r="D3" s="177"/>
      <c r="E3" s="177"/>
      <c r="F3" s="177"/>
    </row>
    <row r="4" ht="15.75" spans="1:6">
      <c r="A4" s="177"/>
      <c r="B4" s="177"/>
      <c r="C4" s="178" t="s">
        <v>102</v>
      </c>
      <c r="D4" s="179" t="s">
        <v>103</v>
      </c>
      <c r="E4" s="180" t="s">
        <v>121</v>
      </c>
      <c r="F4" s="181" t="s">
        <v>105</v>
      </c>
    </row>
    <row r="5" ht="10" customHeight="1" spans="1:6">
      <c r="A5" s="182">
        <v>1</v>
      </c>
      <c r="B5" s="183">
        <v>2</v>
      </c>
      <c r="C5" s="183">
        <v>3</v>
      </c>
      <c r="D5" s="183">
        <v>4</v>
      </c>
      <c r="E5" s="183">
        <v>5</v>
      </c>
      <c r="F5" s="183">
        <v>6</v>
      </c>
    </row>
    <row r="6" ht="50" customHeight="1" spans="1:6">
      <c r="A6" s="177">
        <v>1</v>
      </c>
      <c r="B6" s="184" t="s">
        <v>25</v>
      </c>
      <c r="C6" s="185" t="s">
        <v>169</v>
      </c>
      <c r="D6" s="185"/>
      <c r="E6" s="186" t="s">
        <v>170</v>
      </c>
      <c r="F6" s="185"/>
    </row>
    <row r="7" ht="50" customHeight="1" spans="1:6">
      <c r="A7" s="177">
        <v>2</v>
      </c>
      <c r="B7" s="184" t="s">
        <v>36</v>
      </c>
      <c r="C7" s="185"/>
      <c r="D7" s="185"/>
      <c r="E7" s="186" t="s">
        <v>171</v>
      </c>
      <c r="F7" s="185"/>
    </row>
    <row r="8" ht="50" customHeight="1" spans="1:6">
      <c r="A8" s="177">
        <v>3</v>
      </c>
      <c r="B8" s="184" t="s">
        <v>44</v>
      </c>
      <c r="C8" s="185"/>
      <c r="D8" s="185"/>
      <c r="E8" s="186" t="s">
        <v>172</v>
      </c>
      <c r="F8" s="185"/>
    </row>
    <row r="9" ht="50" customHeight="1" spans="1:6">
      <c r="A9" s="177">
        <v>4</v>
      </c>
      <c r="B9" s="184" t="s">
        <v>50</v>
      </c>
      <c r="C9" s="185"/>
      <c r="D9" s="185"/>
      <c r="E9" s="186" t="s">
        <v>173</v>
      </c>
      <c r="F9" s="185"/>
    </row>
    <row r="10" ht="50" customHeight="1" spans="1:6">
      <c r="A10" s="177">
        <v>5</v>
      </c>
      <c r="B10" s="184" t="s">
        <v>56</v>
      </c>
      <c r="C10" s="185"/>
      <c r="D10" s="185"/>
      <c r="E10" s="186" t="s">
        <v>174</v>
      </c>
      <c r="F10" s="185"/>
    </row>
    <row r="11" ht="50" customHeight="1" spans="1:6">
      <c r="A11" s="177">
        <v>6</v>
      </c>
      <c r="B11" s="184" t="s">
        <v>63</v>
      </c>
      <c r="C11" s="185"/>
      <c r="D11" s="185"/>
      <c r="E11" s="186" t="s">
        <v>175</v>
      </c>
      <c r="F11" s="185"/>
    </row>
    <row r="12" ht="50" customHeight="1" spans="1:6">
      <c r="A12" s="177">
        <v>7</v>
      </c>
      <c r="B12" s="184" t="s">
        <v>70</v>
      </c>
      <c r="C12" s="185"/>
      <c r="D12" s="185"/>
      <c r="E12" s="186" t="s">
        <v>176</v>
      </c>
      <c r="F12" s="185"/>
    </row>
    <row r="13" ht="50" customHeight="1" spans="1:6">
      <c r="A13" s="177">
        <v>8</v>
      </c>
      <c r="B13" s="184" t="s">
        <v>76</v>
      </c>
      <c r="C13" s="185"/>
      <c r="D13" s="185"/>
      <c r="E13" s="186" t="s">
        <v>177</v>
      </c>
      <c r="F13" s="185"/>
    </row>
  </sheetData>
  <mergeCells count="3">
    <mergeCell ref="C3:F3"/>
    <mergeCell ref="A3:A4"/>
    <mergeCell ref="B3:B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6FF33"/>
  </sheetPr>
  <dimension ref="A1:Q734"/>
  <sheetViews>
    <sheetView workbookViewId="0">
      <selection activeCell="G261" sqref="G261"/>
    </sheetView>
  </sheetViews>
  <sheetFormatPr defaultColWidth="12.5714285714286" defaultRowHeight="15.75"/>
  <cols>
    <col min="1" max="1" width="9.71428571428571" style="1" customWidth="1"/>
    <col min="2" max="2" width="0.990476190476191" style="1" customWidth="1"/>
    <col min="3" max="3" width="86.2857142857143" style="1" customWidth="1"/>
    <col min="4" max="4" width="13.7142857142857" style="1" customWidth="1"/>
    <col min="5" max="5" width="1.14285714285714" style="1" customWidth="1"/>
    <col min="6" max="6" width="19.5714285714286" style="1" customWidth="1"/>
    <col min="7" max="16384" width="12.5714285714286" style="1"/>
  </cols>
  <sheetData>
    <row r="1" ht="15.95" customHeight="1" spans="1:6">
      <c r="A1" s="2" t="s">
        <v>178</v>
      </c>
      <c r="B1" s="2"/>
      <c r="C1" s="2"/>
      <c r="D1" s="2"/>
      <c r="E1" s="2"/>
      <c r="F1" s="2"/>
    </row>
    <row r="2" ht="15.95" customHeight="1" spans="1:6">
      <c r="A2" s="2"/>
      <c r="B2" s="2"/>
      <c r="C2" s="2"/>
      <c r="D2" s="2"/>
      <c r="E2" s="2"/>
      <c r="F2" s="2"/>
    </row>
    <row r="3" ht="15.95" customHeight="1" spans="1:6">
      <c r="A3" s="2"/>
      <c r="B3" s="2"/>
      <c r="C3" s="2"/>
      <c r="D3" s="2"/>
      <c r="E3" s="2"/>
      <c r="F3" s="2"/>
    </row>
    <row r="4" spans="1:6">
      <c r="A4" s="3"/>
      <c r="B4" s="3"/>
      <c r="C4" s="3"/>
      <c r="D4" s="3"/>
      <c r="E4" s="3"/>
      <c r="F4" s="3"/>
    </row>
    <row r="6" spans="1:6">
      <c r="A6" s="73" t="s">
        <v>179</v>
      </c>
      <c r="B6" s="6" t="s">
        <v>111</v>
      </c>
      <c r="C6" s="6" t="str">
        <f>'DATA SISWA'!B9</f>
        <v>ALIFAH HANANIYYA</v>
      </c>
      <c r="D6" s="73" t="s">
        <v>180</v>
      </c>
      <c r="E6" s="6" t="s">
        <v>111</v>
      </c>
      <c r="F6" s="6" t="s">
        <v>181</v>
      </c>
    </row>
    <row r="7" spans="1:8">
      <c r="A7" s="73" t="s">
        <v>113</v>
      </c>
      <c r="B7" s="6" t="s">
        <v>111</v>
      </c>
      <c r="C7" s="6" t="s">
        <v>3</v>
      </c>
      <c r="D7" s="73" t="s">
        <v>114</v>
      </c>
      <c r="E7" s="6" t="s">
        <v>111</v>
      </c>
      <c r="F7" s="6" t="s">
        <v>7</v>
      </c>
      <c r="H7" s="1" t="s">
        <v>167</v>
      </c>
    </row>
    <row r="9" ht="19.5" spans="1:6">
      <c r="A9" s="74" t="s">
        <v>180</v>
      </c>
      <c r="B9" s="75"/>
      <c r="C9" s="76" t="s">
        <v>182</v>
      </c>
      <c r="D9" s="77" t="s">
        <v>117</v>
      </c>
      <c r="E9" s="78"/>
      <c r="F9" s="79"/>
    </row>
    <row r="10" ht="19.5" spans="1:6">
      <c r="A10" s="80"/>
      <c r="B10" s="81"/>
      <c r="C10" s="82"/>
      <c r="D10" s="83" t="s">
        <v>183</v>
      </c>
      <c r="E10" s="83"/>
      <c r="F10" s="84" t="s">
        <v>184</v>
      </c>
    </row>
    <row r="11" spans="1:6">
      <c r="A11" s="85" t="s">
        <v>107</v>
      </c>
      <c r="B11" s="86"/>
      <c r="C11" s="87" t="s">
        <v>185</v>
      </c>
      <c r="D11" s="87"/>
      <c r="E11" s="65"/>
      <c r="F11" s="13"/>
    </row>
    <row r="12" spans="1:6">
      <c r="A12" s="85"/>
      <c r="B12" s="86"/>
      <c r="C12" s="88" t="s">
        <v>186</v>
      </c>
      <c r="D12" s="88"/>
      <c r="E12" s="66"/>
      <c r="F12" s="11"/>
    </row>
    <row r="13" ht="16.5" spans="1:6">
      <c r="A13" s="89"/>
      <c r="B13" s="90"/>
      <c r="C13" s="91" t="s">
        <v>187</v>
      </c>
      <c r="D13" s="91"/>
      <c r="E13" s="64"/>
      <c r="F13" s="23"/>
    </row>
    <row r="14" spans="1:6">
      <c r="A14" s="92" t="s">
        <v>188</v>
      </c>
      <c r="B14" s="93"/>
      <c r="C14" s="87" t="s">
        <v>189</v>
      </c>
      <c r="D14" s="87"/>
      <c r="E14" s="65"/>
      <c r="F14" s="13"/>
    </row>
    <row r="15" spans="1:6">
      <c r="A15" s="85"/>
      <c r="B15" s="86"/>
      <c r="C15" s="94" t="s">
        <v>190</v>
      </c>
      <c r="D15" s="88"/>
      <c r="E15" s="66"/>
      <c r="F15" s="11"/>
    </row>
    <row r="16" ht="16.5" spans="1:6">
      <c r="A16" s="89"/>
      <c r="B16" s="90"/>
      <c r="C16" s="91" t="s">
        <v>191</v>
      </c>
      <c r="D16" s="91"/>
      <c r="E16" s="64"/>
      <c r="F16" s="23"/>
    </row>
    <row r="17" spans="1:6">
      <c r="A17" s="92" t="s">
        <v>192</v>
      </c>
      <c r="B17" s="93"/>
      <c r="C17" s="87" t="s">
        <v>193</v>
      </c>
      <c r="D17" s="87"/>
      <c r="E17" s="65"/>
      <c r="F17" s="13"/>
    </row>
    <row r="18" spans="1:6">
      <c r="A18" s="85"/>
      <c r="B18" s="86"/>
      <c r="C18" s="88" t="s">
        <v>194</v>
      </c>
      <c r="D18" s="88"/>
      <c r="E18" s="66"/>
      <c r="F18" s="11"/>
    </row>
    <row r="19" spans="1:6">
      <c r="A19" s="85"/>
      <c r="B19" s="86"/>
      <c r="C19" s="88" t="s">
        <v>195</v>
      </c>
      <c r="D19" s="88"/>
      <c r="E19" s="66"/>
      <c r="F19" s="11"/>
    </row>
    <row r="20" spans="1:6">
      <c r="A20" s="85"/>
      <c r="B20" s="86"/>
      <c r="C20" s="88" t="s">
        <v>196</v>
      </c>
      <c r="D20" s="88"/>
      <c r="E20" s="66"/>
      <c r="F20" s="11"/>
    </row>
    <row r="21" spans="1:6">
      <c r="A21" s="85"/>
      <c r="B21" s="86"/>
      <c r="C21" s="88" t="s">
        <v>197</v>
      </c>
      <c r="D21" s="88"/>
      <c r="E21" s="66"/>
      <c r="F21" s="11"/>
    </row>
    <row r="22" ht="16.5" spans="1:6">
      <c r="A22" s="89"/>
      <c r="B22" s="90"/>
      <c r="C22" s="95" t="s">
        <v>198</v>
      </c>
      <c r="D22" s="91"/>
      <c r="E22" s="64"/>
      <c r="F22" s="23"/>
    </row>
    <row r="23" spans="1:6">
      <c r="A23" s="92" t="s">
        <v>199</v>
      </c>
      <c r="B23" s="93"/>
      <c r="C23" s="87" t="s">
        <v>200</v>
      </c>
      <c r="D23" s="87"/>
      <c r="E23" s="65"/>
      <c r="F23" s="13"/>
    </row>
    <row r="24" spans="1:6">
      <c r="A24" s="85"/>
      <c r="B24" s="86"/>
      <c r="C24" s="88" t="s">
        <v>201</v>
      </c>
      <c r="D24" s="88"/>
      <c r="E24" s="66"/>
      <c r="F24" s="11"/>
    </row>
    <row r="25" spans="1:6">
      <c r="A25" s="85"/>
      <c r="B25" s="86"/>
      <c r="C25" s="88" t="s">
        <v>202</v>
      </c>
      <c r="D25" s="88"/>
      <c r="E25" s="66"/>
      <c r="F25" s="11"/>
    </row>
    <row r="26" spans="1:6">
      <c r="A26" s="85"/>
      <c r="B26" s="86"/>
      <c r="C26" s="88" t="s">
        <v>203</v>
      </c>
      <c r="D26" s="88"/>
      <c r="E26" s="66"/>
      <c r="F26" s="11"/>
    </row>
    <row r="27" spans="1:6">
      <c r="A27" s="85"/>
      <c r="B27" s="86"/>
      <c r="C27" s="88" t="s">
        <v>204</v>
      </c>
      <c r="D27" s="88"/>
      <c r="E27" s="66"/>
      <c r="F27" s="11"/>
    </row>
    <row r="28" ht="16.5" spans="1:6">
      <c r="A28" s="89"/>
      <c r="B28" s="90"/>
      <c r="C28" s="91" t="s">
        <v>205</v>
      </c>
      <c r="D28" s="91"/>
      <c r="E28" s="64"/>
      <c r="F28" s="23"/>
    </row>
    <row r="29" spans="1:6">
      <c r="A29" s="92" t="s">
        <v>206</v>
      </c>
      <c r="B29" s="93"/>
      <c r="C29" s="87" t="s">
        <v>207</v>
      </c>
      <c r="D29" s="87"/>
      <c r="E29" s="65"/>
      <c r="F29" s="13"/>
    </row>
    <row r="30" spans="1:6">
      <c r="A30" s="85"/>
      <c r="B30" s="86"/>
      <c r="C30" s="88" t="s">
        <v>208</v>
      </c>
      <c r="D30" s="88"/>
      <c r="E30" s="66"/>
      <c r="F30" s="11"/>
    </row>
    <row r="31" spans="1:6">
      <c r="A31" s="85"/>
      <c r="B31" s="86"/>
      <c r="C31" s="88" t="s">
        <v>209</v>
      </c>
      <c r="D31" s="88"/>
      <c r="E31" s="66"/>
      <c r="F31" s="11"/>
    </row>
    <row r="32" spans="1:6">
      <c r="A32" s="85"/>
      <c r="B32" s="86"/>
      <c r="C32" s="88" t="s">
        <v>210</v>
      </c>
      <c r="D32" s="88"/>
      <c r="E32" s="66"/>
      <c r="F32" s="11"/>
    </row>
    <row r="33" spans="1:6">
      <c r="A33" s="85"/>
      <c r="B33" s="86"/>
      <c r="C33" s="88" t="s">
        <v>211</v>
      </c>
      <c r="D33" s="88"/>
      <c r="E33" s="66"/>
      <c r="F33" s="11"/>
    </row>
    <row r="34" ht="16.5" spans="1:6">
      <c r="A34" s="89"/>
      <c r="B34" s="90"/>
      <c r="C34" s="91" t="s">
        <v>212</v>
      </c>
      <c r="D34" s="91"/>
      <c r="E34" s="64"/>
      <c r="F34" s="23"/>
    </row>
    <row r="35" spans="1:6">
      <c r="A35" s="92" t="s">
        <v>213</v>
      </c>
      <c r="B35" s="93"/>
      <c r="C35" s="87" t="s">
        <v>214</v>
      </c>
      <c r="D35" s="87"/>
      <c r="E35" s="65"/>
      <c r="F35" s="13"/>
    </row>
    <row r="36" spans="1:6">
      <c r="A36" s="85"/>
      <c r="B36" s="86"/>
      <c r="C36" s="88" t="s">
        <v>215</v>
      </c>
      <c r="D36" s="88"/>
      <c r="E36" s="66"/>
      <c r="F36" s="11"/>
    </row>
    <row r="37" spans="1:6">
      <c r="A37" s="85"/>
      <c r="B37" s="86"/>
      <c r="C37" s="88" t="s">
        <v>216</v>
      </c>
      <c r="D37" s="88"/>
      <c r="E37" s="66"/>
      <c r="F37" s="11"/>
    </row>
    <row r="38" spans="1:6">
      <c r="A38" s="85"/>
      <c r="B38" s="86"/>
      <c r="C38" s="88" t="s">
        <v>217</v>
      </c>
      <c r="D38" s="88"/>
      <c r="E38" s="66"/>
      <c r="F38" s="11"/>
    </row>
    <row r="39" spans="1:6">
      <c r="A39" s="85"/>
      <c r="B39" s="86"/>
      <c r="C39" s="94" t="s">
        <v>218</v>
      </c>
      <c r="D39" s="88"/>
      <c r="E39" s="66"/>
      <c r="F39" s="11"/>
    </row>
    <row r="40" ht="16.5" spans="1:6">
      <c r="A40" s="85"/>
      <c r="B40" s="86"/>
      <c r="C40" s="96" t="s">
        <v>219</v>
      </c>
      <c r="D40" s="96"/>
      <c r="E40" s="97"/>
      <c r="F40" s="33"/>
    </row>
    <row r="41" spans="1:6">
      <c r="A41" s="98" t="s">
        <v>220</v>
      </c>
      <c r="B41" s="99"/>
      <c r="C41" s="87" t="s">
        <v>221</v>
      </c>
      <c r="D41" s="100" t="s">
        <v>130</v>
      </c>
      <c r="E41" s="62"/>
      <c r="F41" s="65"/>
    </row>
    <row r="42" spans="1:6">
      <c r="A42" s="101"/>
      <c r="B42" s="102"/>
      <c r="C42" s="88" t="s">
        <v>222</v>
      </c>
      <c r="D42" s="103" t="s">
        <v>108</v>
      </c>
      <c r="E42" s="104"/>
      <c r="F42" s="66"/>
    </row>
    <row r="43" ht="16.5" spans="1:6">
      <c r="A43" s="105"/>
      <c r="B43" s="106"/>
      <c r="C43" s="91" t="s">
        <v>223</v>
      </c>
      <c r="D43" s="107" t="s">
        <v>108</v>
      </c>
      <c r="E43" s="63"/>
      <c r="F43" s="64"/>
    </row>
    <row r="44" spans="1:6">
      <c r="A44" s="108" t="s">
        <v>224</v>
      </c>
      <c r="B44" s="109"/>
      <c r="C44" s="110" t="s">
        <v>225</v>
      </c>
      <c r="D44" s="110"/>
      <c r="E44" s="67"/>
      <c r="F44" s="111"/>
    </row>
    <row r="45" ht="16.5" spans="1:6">
      <c r="A45" s="112"/>
      <c r="B45" s="113"/>
      <c r="C45" s="91" t="s">
        <v>226</v>
      </c>
      <c r="D45" s="91"/>
      <c r="E45" s="64"/>
      <c r="F45" s="23"/>
    </row>
    <row r="46" spans="1:6">
      <c r="A46" s="114" t="s">
        <v>227</v>
      </c>
      <c r="B46" s="115"/>
      <c r="C46" s="87" t="s">
        <v>228</v>
      </c>
      <c r="D46" s="87"/>
      <c r="E46" s="65"/>
      <c r="F46" s="13"/>
    </row>
    <row r="47" spans="1:6">
      <c r="A47" s="108"/>
      <c r="B47" s="109"/>
      <c r="C47" s="88" t="s">
        <v>229</v>
      </c>
      <c r="D47" s="88"/>
      <c r="E47" s="66"/>
      <c r="F47" s="11"/>
    </row>
    <row r="48" spans="1:6">
      <c r="A48" s="108"/>
      <c r="B48" s="109"/>
      <c r="C48" s="88" t="s">
        <v>230</v>
      </c>
      <c r="D48" s="88"/>
      <c r="E48" s="66"/>
      <c r="F48" s="11"/>
    </row>
    <row r="49" spans="1:6">
      <c r="A49" s="108"/>
      <c r="B49" s="109"/>
      <c r="C49" s="88" t="s">
        <v>231</v>
      </c>
      <c r="D49" s="88"/>
      <c r="E49" s="66"/>
      <c r="F49" s="11"/>
    </row>
    <row r="50" spans="1:6">
      <c r="A50" s="108"/>
      <c r="B50" s="109"/>
      <c r="C50" s="88" t="s">
        <v>232</v>
      </c>
      <c r="D50" s="88"/>
      <c r="E50" s="66"/>
      <c r="F50" s="11"/>
    </row>
    <row r="51" spans="1:6">
      <c r="A51" s="108"/>
      <c r="B51" s="109"/>
      <c r="C51" s="88" t="s">
        <v>233</v>
      </c>
      <c r="D51" s="88"/>
      <c r="E51" s="66"/>
      <c r="F51" s="11"/>
    </row>
    <row r="52" spans="1:6">
      <c r="A52" s="108"/>
      <c r="B52" s="109"/>
      <c r="C52" s="88" t="s">
        <v>234</v>
      </c>
      <c r="D52" s="88"/>
      <c r="E52" s="66"/>
      <c r="F52" s="11"/>
    </row>
    <row r="53" spans="1:17">
      <c r="A53" s="108"/>
      <c r="B53" s="109"/>
      <c r="C53" s="88" t="s">
        <v>235</v>
      </c>
      <c r="D53" s="88"/>
      <c r="E53" s="66"/>
      <c r="F53" s="11"/>
      <c r="Q53" s="120"/>
    </row>
    <row r="54" spans="1:17">
      <c r="A54" s="108"/>
      <c r="B54" s="109"/>
      <c r="C54" s="88" t="s">
        <v>236</v>
      </c>
      <c r="D54" s="88"/>
      <c r="E54" s="66"/>
      <c r="F54" s="11"/>
      <c r="Q54" s="120"/>
    </row>
    <row r="55" ht="16.5" spans="1:17">
      <c r="A55" s="112"/>
      <c r="B55" s="113"/>
      <c r="C55" s="91" t="s">
        <v>237</v>
      </c>
      <c r="D55" s="91"/>
      <c r="E55" s="64"/>
      <c r="F55" s="23"/>
      <c r="Q55" s="120"/>
    </row>
    <row r="56" ht="16.5" spans="1:17">
      <c r="A56" s="6"/>
      <c r="Q56" s="120"/>
    </row>
    <row r="57" ht="33" customHeight="1" spans="1:17">
      <c r="A57" s="116" t="s">
        <v>238</v>
      </c>
      <c r="B57" s="52"/>
      <c r="C57" s="117" t="s">
        <v>239</v>
      </c>
      <c r="D57" s="118"/>
      <c r="E57" s="118"/>
      <c r="F57" s="119"/>
      <c r="Q57" s="120"/>
    </row>
    <row r="58" spans="17:17">
      <c r="Q58" s="120"/>
    </row>
    <row r="59" spans="1:11">
      <c r="A59" s="120" t="s">
        <v>137</v>
      </c>
      <c r="B59" s="120"/>
      <c r="C59" s="120"/>
      <c r="D59" s="120" t="s">
        <v>138</v>
      </c>
      <c r="G59" s="120"/>
      <c r="H59" s="120"/>
      <c r="I59" s="120"/>
      <c r="K59" s="120"/>
    </row>
    <row r="60" spans="1:11">
      <c r="A60" s="120" t="s">
        <v>139</v>
      </c>
      <c r="B60" s="120"/>
      <c r="C60" s="120"/>
      <c r="D60" s="121" t="s">
        <v>240</v>
      </c>
      <c r="G60" s="120"/>
      <c r="H60" s="120"/>
      <c r="I60" s="120"/>
      <c r="K60" s="120"/>
    </row>
    <row r="61" spans="1:11">
      <c r="A61" s="120"/>
      <c r="B61" s="120"/>
      <c r="C61" s="120"/>
      <c r="D61" s="120"/>
      <c r="G61" s="120"/>
      <c r="H61" s="120"/>
      <c r="I61" s="120"/>
      <c r="K61" s="120"/>
    </row>
    <row r="62" spans="1:11">
      <c r="A62" s="120"/>
      <c r="B62" s="120"/>
      <c r="C62" s="120"/>
      <c r="D62" s="120"/>
      <c r="G62" s="120"/>
      <c r="H62" s="120"/>
      <c r="I62" s="120"/>
      <c r="K62" s="120"/>
    </row>
    <row r="63" spans="1:11">
      <c r="A63" s="122" t="str">
        <f>'DATA SISWA'!M9</f>
        <v>KHAIRUL ASHARI</v>
      </c>
      <c r="B63" s="120"/>
      <c r="C63" s="120"/>
      <c r="D63" s="53" t="s">
        <v>241</v>
      </c>
      <c r="G63" s="120"/>
      <c r="H63" s="120"/>
      <c r="I63" s="120"/>
      <c r="K63" s="120"/>
    </row>
    <row r="64" spans="1:11">
      <c r="A64" s="120"/>
      <c r="B64" s="120"/>
      <c r="C64" s="120"/>
      <c r="D64" s="6" t="s">
        <v>242</v>
      </c>
      <c r="G64" s="120"/>
      <c r="H64" s="120"/>
      <c r="I64" s="120"/>
      <c r="K64" s="120"/>
    </row>
    <row r="68" spans="1:6">
      <c r="A68" s="2" t="s">
        <v>178</v>
      </c>
      <c r="B68" s="2"/>
      <c r="C68" s="2"/>
      <c r="D68" s="2"/>
      <c r="E68" s="2"/>
      <c r="F68" s="2"/>
    </row>
    <row r="69" spans="1:6">
      <c r="A69" s="2"/>
      <c r="B69" s="2"/>
      <c r="C69" s="2"/>
      <c r="D69" s="2"/>
      <c r="E69" s="2"/>
      <c r="F69" s="2"/>
    </row>
    <row r="70" spans="1:6">
      <c r="A70" s="2"/>
      <c r="B70" s="2"/>
      <c r="C70" s="2"/>
      <c r="D70" s="2"/>
      <c r="E70" s="2"/>
      <c r="F70" s="2"/>
    </row>
    <row r="71" spans="1:6">
      <c r="A71" s="3"/>
      <c r="B71" s="3"/>
      <c r="C71" s="3"/>
      <c r="D71" s="3"/>
      <c r="E71" s="3"/>
      <c r="F71" s="3"/>
    </row>
    <row r="73" spans="1:6">
      <c r="A73" s="73" t="s">
        <v>179</v>
      </c>
      <c r="B73" s="6" t="s">
        <v>111</v>
      </c>
      <c r="C73" s="6" t="str">
        <f>'DATA SISWA'!B10</f>
        <v>IZQIAN ARSALAN KUSUMA</v>
      </c>
      <c r="D73" s="73" t="s">
        <v>180</v>
      </c>
      <c r="E73" s="6" t="s">
        <v>111</v>
      </c>
      <c r="F73" s="5">
        <v>6</v>
      </c>
    </row>
    <row r="74" spans="1:6">
      <c r="A74" s="73" t="s">
        <v>113</v>
      </c>
      <c r="B74" s="6" t="s">
        <v>111</v>
      </c>
      <c r="C74" s="6" t="s">
        <v>3</v>
      </c>
      <c r="D74" s="73" t="s">
        <v>114</v>
      </c>
      <c r="E74" s="6" t="s">
        <v>111</v>
      </c>
      <c r="F74" s="6" t="s">
        <v>7</v>
      </c>
    </row>
    <row r="76" ht="19.5" spans="1:6">
      <c r="A76" s="74" t="s">
        <v>180</v>
      </c>
      <c r="B76" s="75"/>
      <c r="C76" s="76" t="s">
        <v>182</v>
      </c>
      <c r="D76" s="77" t="s">
        <v>117</v>
      </c>
      <c r="E76" s="78"/>
      <c r="F76" s="79"/>
    </row>
    <row r="77" ht="19.5" spans="1:6">
      <c r="A77" s="80"/>
      <c r="B77" s="81"/>
      <c r="C77" s="82"/>
      <c r="D77" s="123" t="s">
        <v>183</v>
      </c>
      <c r="E77" s="124"/>
      <c r="F77" s="84" t="s">
        <v>184</v>
      </c>
    </row>
    <row r="78" spans="1:6">
      <c r="A78" s="85" t="s">
        <v>107</v>
      </c>
      <c r="B78" s="86"/>
      <c r="C78" s="87" t="s">
        <v>185</v>
      </c>
      <c r="D78" s="125"/>
      <c r="E78" s="126"/>
      <c r="F78" s="13"/>
    </row>
    <row r="79" spans="1:6">
      <c r="A79" s="85"/>
      <c r="B79" s="86"/>
      <c r="C79" s="88" t="s">
        <v>186</v>
      </c>
      <c r="D79" s="127"/>
      <c r="E79" s="128"/>
      <c r="F79" s="11"/>
    </row>
    <row r="80" ht="16.5" spans="1:6">
      <c r="A80" s="89"/>
      <c r="B80" s="90"/>
      <c r="C80" s="91" t="s">
        <v>187</v>
      </c>
      <c r="D80" s="129"/>
      <c r="E80" s="130"/>
      <c r="F80" s="23"/>
    </row>
    <row r="81" spans="1:6">
      <c r="A81" s="92" t="s">
        <v>188</v>
      </c>
      <c r="B81" s="93"/>
      <c r="C81" s="87" t="s">
        <v>189</v>
      </c>
      <c r="D81" s="125"/>
      <c r="E81" s="126"/>
      <c r="F81" s="13"/>
    </row>
    <row r="82" spans="1:6">
      <c r="A82" s="85"/>
      <c r="B82" s="86"/>
      <c r="C82" s="94" t="s">
        <v>190</v>
      </c>
      <c r="D82" s="127"/>
      <c r="E82" s="128"/>
      <c r="F82" s="11"/>
    </row>
    <row r="83" ht="16.5" spans="1:6">
      <c r="A83" s="89"/>
      <c r="B83" s="90"/>
      <c r="C83" s="91" t="s">
        <v>191</v>
      </c>
      <c r="D83" s="129"/>
      <c r="E83" s="130"/>
      <c r="F83" s="23"/>
    </row>
    <row r="84" spans="1:6">
      <c r="A84" s="92" t="s">
        <v>192</v>
      </c>
      <c r="B84" s="93"/>
      <c r="C84" s="87" t="s">
        <v>193</v>
      </c>
      <c r="D84" s="125"/>
      <c r="E84" s="126"/>
      <c r="F84" s="13"/>
    </row>
    <row r="85" spans="1:6">
      <c r="A85" s="85"/>
      <c r="B85" s="86"/>
      <c r="C85" s="88" t="s">
        <v>194</v>
      </c>
      <c r="D85" s="127"/>
      <c r="E85" s="128"/>
      <c r="F85" s="11"/>
    </row>
    <row r="86" spans="1:6">
      <c r="A86" s="85"/>
      <c r="B86" s="86"/>
      <c r="C86" s="88" t="s">
        <v>195</v>
      </c>
      <c r="D86" s="127"/>
      <c r="E86" s="128"/>
      <c r="F86" s="11"/>
    </row>
    <row r="87" spans="1:6">
      <c r="A87" s="85"/>
      <c r="B87" s="86"/>
      <c r="C87" s="88" t="s">
        <v>196</v>
      </c>
      <c r="D87" s="127"/>
      <c r="E87" s="128"/>
      <c r="F87" s="11"/>
    </row>
    <row r="88" spans="1:6">
      <c r="A88" s="85"/>
      <c r="B88" s="86"/>
      <c r="C88" s="88" t="s">
        <v>197</v>
      </c>
      <c r="D88" s="127"/>
      <c r="E88" s="128"/>
      <c r="F88" s="11"/>
    </row>
    <row r="89" ht="16.5" spans="1:6">
      <c r="A89" s="89"/>
      <c r="B89" s="90"/>
      <c r="C89" s="95" t="s">
        <v>198</v>
      </c>
      <c r="D89" s="129"/>
      <c r="E89" s="130"/>
      <c r="F89" s="23"/>
    </row>
    <row r="90" spans="1:6">
      <c r="A90" s="92" t="s">
        <v>199</v>
      </c>
      <c r="B90" s="93"/>
      <c r="C90" s="87" t="s">
        <v>200</v>
      </c>
      <c r="D90" s="125"/>
      <c r="E90" s="126"/>
      <c r="F90" s="13"/>
    </row>
    <row r="91" spans="1:6">
      <c r="A91" s="85"/>
      <c r="B91" s="86"/>
      <c r="C91" s="88" t="s">
        <v>201</v>
      </c>
      <c r="D91" s="127"/>
      <c r="E91" s="128"/>
      <c r="F91" s="11"/>
    </row>
    <row r="92" spans="1:6">
      <c r="A92" s="85"/>
      <c r="B92" s="86"/>
      <c r="C92" s="88" t="s">
        <v>202</v>
      </c>
      <c r="D92" s="127"/>
      <c r="E92" s="128"/>
      <c r="F92" s="11"/>
    </row>
    <row r="93" spans="1:6">
      <c r="A93" s="85"/>
      <c r="B93" s="86"/>
      <c r="C93" s="88" t="s">
        <v>203</v>
      </c>
      <c r="D93" s="127"/>
      <c r="E93" s="128"/>
      <c r="F93" s="11"/>
    </row>
    <row r="94" spans="1:6">
      <c r="A94" s="85"/>
      <c r="B94" s="86"/>
      <c r="C94" s="88" t="s">
        <v>204</v>
      </c>
      <c r="D94" s="127"/>
      <c r="E94" s="128"/>
      <c r="F94" s="11"/>
    </row>
    <row r="95" ht="16.5" spans="1:6">
      <c r="A95" s="89"/>
      <c r="B95" s="90"/>
      <c r="C95" s="91" t="s">
        <v>205</v>
      </c>
      <c r="D95" s="129"/>
      <c r="E95" s="130"/>
      <c r="F95" s="23"/>
    </row>
    <row r="96" spans="1:6">
      <c r="A96" s="92" t="s">
        <v>206</v>
      </c>
      <c r="B96" s="93"/>
      <c r="C96" s="87" t="s">
        <v>207</v>
      </c>
      <c r="D96" s="125"/>
      <c r="E96" s="126"/>
      <c r="F96" s="13"/>
    </row>
    <row r="97" spans="1:6">
      <c r="A97" s="85"/>
      <c r="B97" s="86"/>
      <c r="C97" s="88" t="s">
        <v>208</v>
      </c>
      <c r="D97" s="127"/>
      <c r="E97" s="128"/>
      <c r="F97" s="11"/>
    </row>
    <row r="98" spans="1:6">
      <c r="A98" s="85"/>
      <c r="B98" s="86"/>
      <c r="C98" s="88" t="s">
        <v>209</v>
      </c>
      <c r="D98" s="127"/>
      <c r="E98" s="128"/>
      <c r="F98" s="11"/>
    </row>
    <row r="99" spans="1:6">
      <c r="A99" s="85"/>
      <c r="B99" s="86"/>
      <c r="C99" s="88" t="s">
        <v>210</v>
      </c>
      <c r="D99" s="127"/>
      <c r="E99" s="128"/>
      <c r="F99" s="11"/>
    </row>
    <row r="100" spans="1:6">
      <c r="A100" s="85"/>
      <c r="B100" s="86"/>
      <c r="C100" s="88" t="s">
        <v>211</v>
      </c>
      <c r="D100" s="127"/>
      <c r="E100" s="128"/>
      <c r="F100" s="11"/>
    </row>
    <row r="101" ht="16.5" spans="1:6">
      <c r="A101" s="89"/>
      <c r="B101" s="90"/>
      <c r="C101" s="91" t="s">
        <v>212</v>
      </c>
      <c r="D101" s="129"/>
      <c r="E101" s="130"/>
      <c r="F101" s="23"/>
    </row>
    <row r="102" spans="1:6">
      <c r="A102" s="92" t="s">
        <v>213</v>
      </c>
      <c r="B102" s="93"/>
      <c r="C102" s="87" t="s">
        <v>214</v>
      </c>
      <c r="D102" s="125" t="s">
        <v>130</v>
      </c>
      <c r="E102" s="126"/>
      <c r="F102" s="13"/>
    </row>
    <row r="103" spans="1:6">
      <c r="A103" s="85"/>
      <c r="B103" s="86"/>
      <c r="C103" s="88" t="s">
        <v>215</v>
      </c>
      <c r="D103" s="127" t="s">
        <v>108</v>
      </c>
      <c r="E103" s="128"/>
      <c r="F103" s="11"/>
    </row>
    <row r="104" spans="1:6">
      <c r="A104" s="85"/>
      <c r="B104" s="86"/>
      <c r="C104" s="88" t="s">
        <v>216</v>
      </c>
      <c r="D104" s="127" t="s">
        <v>130</v>
      </c>
      <c r="E104" s="128"/>
      <c r="F104" s="11"/>
    </row>
    <row r="105" spans="1:6">
      <c r="A105" s="85"/>
      <c r="B105" s="86"/>
      <c r="C105" s="88" t="s">
        <v>217</v>
      </c>
      <c r="D105" s="127" t="s">
        <v>130</v>
      </c>
      <c r="E105" s="128"/>
      <c r="F105" s="11"/>
    </row>
    <row r="106" spans="1:6">
      <c r="A106" s="85"/>
      <c r="B106" s="86"/>
      <c r="C106" s="94" t="s">
        <v>218</v>
      </c>
      <c r="D106" s="127" t="s">
        <v>108</v>
      </c>
      <c r="E106" s="128"/>
      <c r="F106" s="11"/>
    </row>
    <row r="107" ht="16.5" spans="1:6">
      <c r="A107" s="85"/>
      <c r="B107" s="86"/>
      <c r="C107" s="96" t="s">
        <v>219</v>
      </c>
      <c r="D107" s="131" t="s">
        <v>108</v>
      </c>
      <c r="E107" s="132"/>
      <c r="F107" s="33"/>
    </row>
    <row r="108" spans="1:6">
      <c r="A108" s="98" t="s">
        <v>220</v>
      </c>
      <c r="B108" s="99"/>
      <c r="C108" s="87" t="s">
        <v>221</v>
      </c>
      <c r="D108" s="125"/>
      <c r="E108" s="126"/>
      <c r="F108" s="65"/>
    </row>
    <row r="109" spans="1:6">
      <c r="A109" s="101"/>
      <c r="B109" s="102"/>
      <c r="C109" s="88" t="s">
        <v>222</v>
      </c>
      <c r="D109" s="127"/>
      <c r="E109" s="128"/>
      <c r="F109" s="66"/>
    </row>
    <row r="110" ht="16.5" spans="1:6">
      <c r="A110" s="105"/>
      <c r="B110" s="106"/>
      <c r="C110" s="91" t="s">
        <v>223</v>
      </c>
      <c r="D110" s="129"/>
      <c r="E110" s="130"/>
      <c r="F110" s="64"/>
    </row>
    <row r="111" spans="1:6">
      <c r="A111" s="108" t="s">
        <v>224</v>
      </c>
      <c r="B111" s="109"/>
      <c r="C111" s="110" t="s">
        <v>225</v>
      </c>
      <c r="D111" s="133"/>
      <c r="E111" s="134"/>
      <c r="F111" s="111"/>
    </row>
    <row r="112" ht="16.5" spans="1:6">
      <c r="A112" s="112"/>
      <c r="B112" s="113"/>
      <c r="C112" s="91" t="s">
        <v>226</v>
      </c>
      <c r="D112" s="129"/>
      <c r="E112" s="130"/>
      <c r="F112" s="23"/>
    </row>
    <row r="113" spans="1:6">
      <c r="A113" s="114" t="s">
        <v>227</v>
      </c>
      <c r="B113" s="115"/>
      <c r="C113" s="87" t="s">
        <v>228</v>
      </c>
      <c r="D113" s="125"/>
      <c r="E113" s="126"/>
      <c r="F113" s="13"/>
    </row>
    <row r="114" spans="1:6">
      <c r="A114" s="108"/>
      <c r="B114" s="109"/>
      <c r="C114" s="88" t="s">
        <v>229</v>
      </c>
      <c r="D114" s="127"/>
      <c r="E114" s="128"/>
      <c r="F114" s="11"/>
    </row>
    <row r="115" spans="1:6">
      <c r="A115" s="108"/>
      <c r="B115" s="109"/>
      <c r="C115" s="88" t="s">
        <v>230</v>
      </c>
      <c r="D115" s="127"/>
      <c r="E115" s="128"/>
      <c r="F115" s="11"/>
    </row>
    <row r="116" spans="1:6">
      <c r="A116" s="108"/>
      <c r="B116" s="109"/>
      <c r="C116" s="88" t="s">
        <v>231</v>
      </c>
      <c r="D116" s="127"/>
      <c r="E116" s="128"/>
      <c r="F116" s="11"/>
    </row>
    <row r="117" spans="1:6">
      <c r="A117" s="108"/>
      <c r="B117" s="109"/>
      <c r="C117" s="88" t="s">
        <v>232</v>
      </c>
      <c r="D117" s="127"/>
      <c r="E117" s="128"/>
      <c r="F117" s="11"/>
    </row>
    <row r="118" spans="1:6">
      <c r="A118" s="108"/>
      <c r="B118" s="109"/>
      <c r="C118" s="88" t="s">
        <v>233</v>
      </c>
      <c r="D118" s="127"/>
      <c r="E118" s="128"/>
      <c r="F118" s="11"/>
    </row>
    <row r="119" spans="1:6">
      <c r="A119" s="108"/>
      <c r="B119" s="109"/>
      <c r="C119" s="88" t="s">
        <v>234</v>
      </c>
      <c r="D119" s="127"/>
      <c r="E119" s="128"/>
      <c r="F119" s="11"/>
    </row>
    <row r="120" spans="1:6">
      <c r="A120" s="108"/>
      <c r="B120" s="109"/>
      <c r="C120" s="88" t="s">
        <v>235</v>
      </c>
      <c r="D120" s="127"/>
      <c r="E120" s="128"/>
      <c r="F120" s="11"/>
    </row>
    <row r="121" spans="1:6">
      <c r="A121" s="108"/>
      <c r="B121" s="109"/>
      <c r="C121" s="88" t="s">
        <v>236</v>
      </c>
      <c r="D121" s="127"/>
      <c r="E121" s="128"/>
      <c r="F121" s="11"/>
    </row>
    <row r="122" ht="16.5" spans="1:6">
      <c r="A122" s="112"/>
      <c r="B122" s="113"/>
      <c r="C122" s="91" t="s">
        <v>237</v>
      </c>
      <c r="D122" s="129"/>
      <c r="E122" s="130"/>
      <c r="F122" s="23"/>
    </row>
    <row r="123" ht="16.5" spans="1:1">
      <c r="A123" s="6"/>
    </row>
    <row r="124" ht="33" customHeight="1" spans="1:6">
      <c r="A124" s="116" t="s">
        <v>238</v>
      </c>
      <c r="B124" s="52"/>
      <c r="C124" s="135" t="s">
        <v>243</v>
      </c>
      <c r="D124" s="136"/>
      <c r="E124" s="136"/>
      <c r="F124" s="137"/>
    </row>
    <row r="125" spans="3:3">
      <c r="C125" s="138"/>
    </row>
    <row r="126" spans="1:4">
      <c r="A126" s="120" t="s">
        <v>137</v>
      </c>
      <c r="B126" s="120"/>
      <c r="C126" s="120"/>
      <c r="D126" s="120" t="s">
        <v>138</v>
      </c>
    </row>
    <row r="127" spans="1:4">
      <c r="A127" s="120" t="s">
        <v>139</v>
      </c>
      <c r="B127" s="120"/>
      <c r="C127" s="120"/>
      <c r="D127" s="121" t="s">
        <v>240</v>
      </c>
    </row>
    <row r="128" spans="1:4">
      <c r="A128" s="120"/>
      <c r="B128" s="120"/>
      <c r="C128" s="120"/>
      <c r="D128" s="120"/>
    </row>
    <row r="129" spans="1:4">
      <c r="A129" s="120"/>
      <c r="B129" s="120"/>
      <c r="C129" s="120"/>
      <c r="D129" s="120"/>
    </row>
    <row r="130" spans="1:4">
      <c r="A130" s="122" t="str">
        <f>'DATA SISWA'!M10</f>
        <v>EFRI DIAN KUSUMA</v>
      </c>
      <c r="B130" s="120"/>
      <c r="C130" s="120"/>
      <c r="D130" s="53" t="s">
        <v>241</v>
      </c>
    </row>
    <row r="131" spans="1:4">
      <c r="A131" s="120"/>
      <c r="B131" s="120"/>
      <c r="C131" s="120"/>
      <c r="D131" s="6" t="s">
        <v>242</v>
      </c>
    </row>
    <row r="135" spans="1:6">
      <c r="A135" s="2" t="s">
        <v>178</v>
      </c>
      <c r="B135" s="2"/>
      <c r="C135" s="2"/>
      <c r="D135" s="2"/>
      <c r="E135" s="2"/>
      <c r="F135" s="2"/>
    </row>
    <row r="136" spans="1:6">
      <c r="A136" s="2"/>
      <c r="B136" s="2"/>
      <c r="C136" s="2"/>
      <c r="D136" s="2"/>
      <c r="E136" s="2"/>
      <c r="F136" s="2"/>
    </row>
    <row r="137" spans="1:6">
      <c r="A137" s="2"/>
      <c r="B137" s="2"/>
      <c r="C137" s="2"/>
      <c r="D137" s="2"/>
      <c r="E137" s="2"/>
      <c r="F137" s="2"/>
    </row>
    <row r="138" spans="1:6">
      <c r="A138" s="3"/>
      <c r="B138" s="3"/>
      <c r="C138" s="3"/>
      <c r="D138" s="3"/>
      <c r="E138" s="3"/>
      <c r="F138" s="3"/>
    </row>
    <row r="140" spans="1:6">
      <c r="A140" s="73" t="s">
        <v>179</v>
      </c>
      <c r="B140" s="6" t="s">
        <v>111</v>
      </c>
      <c r="C140" s="6" t="str">
        <f>'DATA SISWA'!B11</f>
        <v>MUHAMAD RISQI</v>
      </c>
      <c r="D140" s="73" t="s">
        <v>180</v>
      </c>
      <c r="E140" s="6" t="s">
        <v>111</v>
      </c>
      <c r="F140" s="5">
        <v>3</v>
      </c>
    </row>
    <row r="141" spans="1:6">
      <c r="A141" s="73" t="s">
        <v>113</v>
      </c>
      <c r="B141" s="6" t="s">
        <v>111</v>
      </c>
      <c r="C141" s="6" t="s">
        <v>3</v>
      </c>
      <c r="D141" s="73" t="s">
        <v>114</v>
      </c>
      <c r="E141" s="6" t="s">
        <v>111</v>
      </c>
      <c r="F141" s="6" t="s">
        <v>7</v>
      </c>
    </row>
    <row r="143" ht="19.5" spans="1:6">
      <c r="A143" s="74" t="s">
        <v>180</v>
      </c>
      <c r="B143" s="75"/>
      <c r="C143" s="76" t="s">
        <v>182</v>
      </c>
      <c r="D143" s="77" t="s">
        <v>117</v>
      </c>
      <c r="E143" s="78"/>
      <c r="F143" s="79"/>
    </row>
    <row r="144" ht="19.5" spans="1:6">
      <c r="A144" s="80"/>
      <c r="B144" s="81"/>
      <c r="C144" s="82"/>
      <c r="D144" s="139" t="s">
        <v>183</v>
      </c>
      <c r="E144" s="140"/>
      <c r="F144" s="84" t="s">
        <v>184</v>
      </c>
    </row>
    <row r="145" spans="1:6">
      <c r="A145" s="85" t="s">
        <v>107</v>
      </c>
      <c r="B145" s="86"/>
      <c r="C145" s="87" t="s">
        <v>185</v>
      </c>
      <c r="D145" s="87"/>
      <c r="E145" s="65"/>
      <c r="F145" s="13"/>
    </row>
    <row r="146" spans="1:6">
      <c r="A146" s="85"/>
      <c r="B146" s="86"/>
      <c r="C146" s="88" t="s">
        <v>186</v>
      </c>
      <c r="D146" s="88"/>
      <c r="E146" s="66"/>
      <c r="F146" s="11"/>
    </row>
    <row r="147" ht="16.5" spans="1:6">
      <c r="A147" s="89"/>
      <c r="B147" s="90"/>
      <c r="C147" s="91" t="s">
        <v>187</v>
      </c>
      <c r="D147" s="91"/>
      <c r="E147" s="64"/>
      <c r="F147" s="23"/>
    </row>
    <row r="148" spans="1:6">
      <c r="A148" s="92" t="s">
        <v>188</v>
      </c>
      <c r="B148" s="93"/>
      <c r="C148" s="87" t="s">
        <v>189</v>
      </c>
      <c r="D148" s="87"/>
      <c r="E148" s="65"/>
      <c r="F148" s="13"/>
    </row>
    <row r="149" spans="1:6">
      <c r="A149" s="85"/>
      <c r="B149" s="86"/>
      <c r="C149" s="94" t="s">
        <v>190</v>
      </c>
      <c r="D149" s="88"/>
      <c r="E149" s="66"/>
      <c r="F149" s="11"/>
    </row>
    <row r="150" ht="16.5" spans="1:6">
      <c r="A150" s="89"/>
      <c r="B150" s="90"/>
      <c r="C150" s="91" t="s">
        <v>191</v>
      </c>
      <c r="D150" s="91"/>
      <c r="E150" s="64"/>
      <c r="F150" s="23"/>
    </row>
    <row r="151" spans="1:6">
      <c r="A151" s="92" t="s">
        <v>192</v>
      </c>
      <c r="B151" s="93"/>
      <c r="C151" s="87" t="s">
        <v>193</v>
      </c>
      <c r="D151" s="100" t="s">
        <v>31</v>
      </c>
      <c r="E151" s="62"/>
      <c r="F151" s="13"/>
    </row>
    <row r="152" spans="1:6">
      <c r="A152" s="85"/>
      <c r="B152" s="86"/>
      <c r="C152" s="88" t="s">
        <v>194</v>
      </c>
      <c r="D152" s="103" t="s">
        <v>108</v>
      </c>
      <c r="E152" s="104"/>
      <c r="F152" s="11"/>
    </row>
    <row r="153" spans="1:6">
      <c r="A153" s="85"/>
      <c r="B153" s="86"/>
      <c r="C153" s="88" t="s">
        <v>195</v>
      </c>
      <c r="D153" s="103" t="s">
        <v>108</v>
      </c>
      <c r="E153" s="104"/>
      <c r="F153" s="11"/>
    </row>
    <row r="154" spans="1:6">
      <c r="A154" s="85"/>
      <c r="B154" s="86"/>
      <c r="C154" s="88" t="s">
        <v>196</v>
      </c>
      <c r="D154" s="103" t="s">
        <v>130</v>
      </c>
      <c r="E154" s="104"/>
      <c r="F154" s="11"/>
    </row>
    <row r="155" spans="1:6">
      <c r="A155" s="85"/>
      <c r="B155" s="86"/>
      <c r="C155" s="88" t="s">
        <v>197</v>
      </c>
      <c r="D155" s="103" t="s">
        <v>130</v>
      </c>
      <c r="E155" s="104"/>
      <c r="F155" s="11"/>
    </row>
    <row r="156" ht="16.5" spans="1:6">
      <c r="A156" s="89"/>
      <c r="B156" s="90"/>
      <c r="C156" s="95" t="s">
        <v>198</v>
      </c>
      <c r="D156" s="107" t="s">
        <v>130</v>
      </c>
      <c r="E156" s="63"/>
      <c r="F156" s="23"/>
    </row>
    <row r="157" spans="1:6">
      <c r="A157" s="92" t="s">
        <v>199</v>
      </c>
      <c r="B157" s="93"/>
      <c r="C157" s="87" t="s">
        <v>200</v>
      </c>
      <c r="D157" s="87"/>
      <c r="E157" s="65"/>
      <c r="F157" s="13"/>
    </row>
    <row r="158" spans="1:6">
      <c r="A158" s="85"/>
      <c r="B158" s="86"/>
      <c r="C158" s="88" t="s">
        <v>201</v>
      </c>
      <c r="D158" s="88"/>
      <c r="E158" s="66"/>
      <c r="F158" s="11"/>
    </row>
    <row r="159" spans="1:6">
      <c r="A159" s="85"/>
      <c r="B159" s="86"/>
      <c r="C159" s="88" t="s">
        <v>202</v>
      </c>
      <c r="D159" s="88"/>
      <c r="E159" s="66"/>
      <c r="F159" s="11"/>
    </row>
    <row r="160" spans="1:6">
      <c r="A160" s="85"/>
      <c r="B160" s="86"/>
      <c r="C160" s="88" t="s">
        <v>203</v>
      </c>
      <c r="D160" s="88"/>
      <c r="E160" s="66"/>
      <c r="F160" s="11"/>
    </row>
    <row r="161" spans="1:6">
      <c r="A161" s="85"/>
      <c r="B161" s="86"/>
      <c r="C161" s="88" t="s">
        <v>204</v>
      </c>
      <c r="D161" s="88"/>
      <c r="E161" s="66"/>
      <c r="F161" s="11"/>
    </row>
    <row r="162" ht="16.5" spans="1:6">
      <c r="A162" s="89"/>
      <c r="B162" s="90"/>
      <c r="C162" s="91" t="s">
        <v>205</v>
      </c>
      <c r="D162" s="91"/>
      <c r="E162" s="64"/>
      <c r="F162" s="23"/>
    </row>
    <row r="163" spans="1:6">
      <c r="A163" s="92" t="s">
        <v>206</v>
      </c>
      <c r="B163" s="93"/>
      <c r="C163" s="87" t="s">
        <v>207</v>
      </c>
      <c r="D163" s="87"/>
      <c r="E163" s="65"/>
      <c r="F163" s="13"/>
    </row>
    <row r="164" spans="1:6">
      <c r="A164" s="85"/>
      <c r="B164" s="86"/>
      <c r="C164" s="88" t="s">
        <v>208</v>
      </c>
      <c r="D164" s="88"/>
      <c r="E164" s="66"/>
      <c r="F164" s="11"/>
    </row>
    <row r="165" spans="1:6">
      <c r="A165" s="85"/>
      <c r="B165" s="86"/>
      <c r="C165" s="88" t="s">
        <v>209</v>
      </c>
      <c r="D165" s="88"/>
      <c r="E165" s="66"/>
      <c r="F165" s="11"/>
    </row>
    <row r="166" spans="1:6">
      <c r="A166" s="85"/>
      <c r="B166" s="86"/>
      <c r="C166" s="88" t="s">
        <v>210</v>
      </c>
      <c r="D166" s="88"/>
      <c r="E166" s="66"/>
      <c r="F166" s="11"/>
    </row>
    <row r="167" spans="1:6">
      <c r="A167" s="85"/>
      <c r="B167" s="86"/>
      <c r="C167" s="88" t="s">
        <v>211</v>
      </c>
      <c r="D167" s="88"/>
      <c r="E167" s="66"/>
      <c r="F167" s="11"/>
    </row>
    <row r="168" ht="16.5" spans="1:6">
      <c r="A168" s="89"/>
      <c r="B168" s="90"/>
      <c r="C168" s="91" t="s">
        <v>212</v>
      </c>
      <c r="D168" s="91"/>
      <c r="E168" s="64"/>
      <c r="F168" s="23"/>
    </row>
    <row r="169" spans="1:6">
      <c r="A169" s="92" t="s">
        <v>213</v>
      </c>
      <c r="B169" s="93"/>
      <c r="C169" s="87" t="s">
        <v>214</v>
      </c>
      <c r="D169" s="87"/>
      <c r="E169" s="65"/>
      <c r="F169" s="13"/>
    </row>
    <row r="170" spans="1:6">
      <c r="A170" s="85"/>
      <c r="B170" s="86"/>
      <c r="C170" s="88" t="s">
        <v>215</v>
      </c>
      <c r="D170" s="88"/>
      <c r="E170" s="66"/>
      <c r="F170" s="11"/>
    </row>
    <row r="171" spans="1:6">
      <c r="A171" s="85"/>
      <c r="B171" s="86"/>
      <c r="C171" s="88" t="s">
        <v>216</v>
      </c>
      <c r="D171" s="88"/>
      <c r="E171" s="66"/>
      <c r="F171" s="11"/>
    </row>
    <row r="172" spans="1:6">
      <c r="A172" s="85"/>
      <c r="B172" s="86"/>
      <c r="C172" s="88" t="s">
        <v>217</v>
      </c>
      <c r="D172" s="88"/>
      <c r="E172" s="66"/>
      <c r="F172" s="11"/>
    </row>
    <row r="173" spans="1:6">
      <c r="A173" s="85"/>
      <c r="B173" s="86"/>
      <c r="C173" s="94" t="s">
        <v>218</v>
      </c>
      <c r="D173" s="88"/>
      <c r="E173" s="66"/>
      <c r="F173" s="11"/>
    </row>
    <row r="174" ht="16.5" spans="1:6">
      <c r="A174" s="85"/>
      <c r="B174" s="86"/>
      <c r="C174" s="96" t="s">
        <v>219</v>
      </c>
      <c r="D174" s="96"/>
      <c r="E174" s="97"/>
      <c r="F174" s="33"/>
    </row>
    <row r="175" spans="1:6">
      <c r="A175" s="98" t="s">
        <v>220</v>
      </c>
      <c r="B175" s="99"/>
      <c r="C175" s="87" t="s">
        <v>221</v>
      </c>
      <c r="D175" s="87"/>
      <c r="E175" s="65"/>
      <c r="F175" s="65"/>
    </row>
    <row r="176" spans="1:6">
      <c r="A176" s="101"/>
      <c r="B176" s="102"/>
      <c r="C176" s="88" t="s">
        <v>222</v>
      </c>
      <c r="D176" s="88"/>
      <c r="E176" s="66"/>
      <c r="F176" s="66"/>
    </row>
    <row r="177" ht="16.5" spans="1:6">
      <c r="A177" s="105"/>
      <c r="B177" s="106"/>
      <c r="C177" s="91" t="s">
        <v>223</v>
      </c>
      <c r="D177" s="91"/>
      <c r="E177" s="64"/>
      <c r="F177" s="64"/>
    </row>
    <row r="178" spans="1:6">
      <c r="A178" s="108" t="s">
        <v>224</v>
      </c>
      <c r="B178" s="109"/>
      <c r="C178" s="110" t="s">
        <v>225</v>
      </c>
      <c r="D178" s="110"/>
      <c r="E178" s="67"/>
      <c r="F178" s="111"/>
    </row>
    <row r="179" ht="16.5" spans="1:6">
      <c r="A179" s="112"/>
      <c r="B179" s="113"/>
      <c r="C179" s="91" t="s">
        <v>226</v>
      </c>
      <c r="D179" s="91"/>
      <c r="E179" s="64"/>
      <c r="F179" s="23"/>
    </row>
    <row r="180" spans="1:6">
      <c r="A180" s="114" t="s">
        <v>227</v>
      </c>
      <c r="B180" s="115"/>
      <c r="C180" s="87" t="s">
        <v>228</v>
      </c>
      <c r="D180" s="87"/>
      <c r="E180" s="65"/>
      <c r="F180" s="13"/>
    </row>
    <row r="181" spans="1:6">
      <c r="A181" s="108"/>
      <c r="B181" s="109"/>
      <c r="C181" s="88" t="s">
        <v>229</v>
      </c>
      <c r="D181" s="88"/>
      <c r="E181" s="66"/>
      <c r="F181" s="11"/>
    </row>
    <row r="182" spans="1:6">
      <c r="A182" s="108"/>
      <c r="B182" s="109"/>
      <c r="C182" s="88" t="s">
        <v>230</v>
      </c>
      <c r="D182" s="88"/>
      <c r="E182" s="66"/>
      <c r="F182" s="11"/>
    </row>
    <row r="183" spans="1:6">
      <c r="A183" s="108"/>
      <c r="B183" s="109"/>
      <c r="C183" s="88" t="s">
        <v>231</v>
      </c>
      <c r="D183" s="88"/>
      <c r="E183" s="66"/>
      <c r="F183" s="11"/>
    </row>
    <row r="184" spans="1:6">
      <c r="A184" s="108"/>
      <c r="B184" s="109"/>
      <c r="C184" s="88" t="s">
        <v>232</v>
      </c>
      <c r="D184" s="88"/>
      <c r="E184" s="66"/>
      <c r="F184" s="11"/>
    </row>
    <row r="185" spans="1:6">
      <c r="A185" s="108"/>
      <c r="B185" s="109"/>
      <c r="C185" s="88" t="s">
        <v>233</v>
      </c>
      <c r="D185" s="88"/>
      <c r="E185" s="66"/>
      <c r="F185" s="11"/>
    </row>
    <row r="186" spans="1:6">
      <c r="A186" s="108"/>
      <c r="B186" s="109"/>
      <c r="C186" s="88" t="s">
        <v>234</v>
      </c>
      <c r="D186" s="88"/>
      <c r="E186" s="66"/>
      <c r="F186" s="11"/>
    </row>
    <row r="187" spans="1:6">
      <c r="A187" s="108"/>
      <c r="B187" s="109"/>
      <c r="C187" s="88" t="s">
        <v>235</v>
      </c>
      <c r="D187" s="88"/>
      <c r="E187" s="66"/>
      <c r="F187" s="11"/>
    </row>
    <row r="188" spans="1:6">
      <c r="A188" s="108"/>
      <c r="B188" s="109"/>
      <c r="C188" s="88" t="s">
        <v>236</v>
      </c>
      <c r="D188" s="88"/>
      <c r="E188" s="66"/>
      <c r="F188" s="11"/>
    </row>
    <row r="189" ht="16.5" spans="1:6">
      <c r="A189" s="112"/>
      <c r="B189" s="113"/>
      <c r="C189" s="91" t="s">
        <v>237</v>
      </c>
      <c r="D189" s="91"/>
      <c r="E189" s="64"/>
      <c r="F189" s="23"/>
    </row>
    <row r="190" ht="16.5" spans="1:1">
      <c r="A190" s="6"/>
    </row>
    <row r="191" ht="46" customHeight="1" spans="1:6">
      <c r="A191" s="116" t="s">
        <v>238</v>
      </c>
      <c r="B191" s="52"/>
      <c r="C191" s="141" t="s">
        <v>244</v>
      </c>
      <c r="D191" s="142"/>
      <c r="E191" s="142"/>
      <c r="F191" s="143"/>
    </row>
    <row r="193" spans="1:4">
      <c r="A193" s="120" t="s">
        <v>137</v>
      </c>
      <c r="B193" s="120"/>
      <c r="C193" s="120"/>
      <c r="D193" s="120" t="s">
        <v>138</v>
      </c>
    </row>
    <row r="194" spans="1:4">
      <c r="A194" s="120" t="s">
        <v>139</v>
      </c>
      <c r="B194" s="120"/>
      <c r="C194" s="120"/>
      <c r="D194" s="121" t="s">
        <v>240</v>
      </c>
    </row>
    <row r="195" spans="1:4">
      <c r="A195" s="120"/>
      <c r="B195" s="120"/>
      <c r="C195" s="120"/>
      <c r="D195" s="120"/>
    </row>
    <row r="196" spans="1:4">
      <c r="A196" s="120"/>
      <c r="B196" s="120"/>
      <c r="C196" s="120"/>
      <c r="D196" s="120"/>
    </row>
    <row r="197" spans="1:4">
      <c r="A197" s="122" t="str">
        <f>'DATA SISWA'!M11</f>
        <v>ADI YULIANTO</v>
      </c>
      <c r="B197" s="120"/>
      <c r="C197" s="120"/>
      <c r="D197" s="53" t="s">
        <v>241</v>
      </c>
    </row>
    <row r="198" spans="1:4">
      <c r="A198" s="120"/>
      <c r="B198" s="120"/>
      <c r="C198" s="120"/>
      <c r="D198" s="6" t="s">
        <v>242</v>
      </c>
    </row>
    <row r="202" spans="1:6">
      <c r="A202" s="2" t="s">
        <v>178</v>
      </c>
      <c r="B202" s="2"/>
      <c r="C202" s="2"/>
      <c r="D202" s="2"/>
      <c r="E202" s="2"/>
      <c r="F202" s="2"/>
    </row>
    <row r="203" spans="1:6">
      <c r="A203" s="2"/>
      <c r="B203" s="2"/>
      <c r="C203" s="2"/>
      <c r="D203" s="2"/>
      <c r="E203" s="2"/>
      <c r="F203" s="2"/>
    </row>
    <row r="204" spans="1:6">
      <c r="A204" s="2"/>
      <c r="B204" s="2"/>
      <c r="C204" s="2"/>
      <c r="D204" s="2"/>
      <c r="E204" s="2"/>
      <c r="F204" s="2"/>
    </row>
    <row r="205" spans="1:6">
      <c r="A205" s="3"/>
      <c r="B205" s="3"/>
      <c r="C205" s="3"/>
      <c r="D205" s="3"/>
      <c r="E205" s="3"/>
      <c r="F205" s="3"/>
    </row>
    <row r="207" spans="1:6">
      <c r="A207" s="73" t="s">
        <v>179</v>
      </c>
      <c r="B207" s="6" t="s">
        <v>111</v>
      </c>
      <c r="C207" s="6" t="str">
        <f>'DATA SISWA'!B12</f>
        <v>MUHAMMAD IBRAHIM ABDULLAH</v>
      </c>
      <c r="D207" s="73" t="s">
        <v>180</v>
      </c>
      <c r="E207" s="6" t="s">
        <v>111</v>
      </c>
      <c r="F207" s="6" t="s">
        <v>181</v>
      </c>
    </row>
    <row r="208" spans="1:6">
      <c r="A208" s="73" t="s">
        <v>113</v>
      </c>
      <c r="B208" s="6" t="s">
        <v>111</v>
      </c>
      <c r="C208" s="6" t="s">
        <v>3</v>
      </c>
      <c r="D208" s="73" t="s">
        <v>114</v>
      </c>
      <c r="E208" s="6" t="s">
        <v>111</v>
      </c>
      <c r="F208" s="6" t="s">
        <v>7</v>
      </c>
    </row>
    <row r="210" ht="19.5" spans="1:6">
      <c r="A210" s="74" t="s">
        <v>180</v>
      </c>
      <c r="B210" s="75"/>
      <c r="C210" s="76" t="s">
        <v>182</v>
      </c>
      <c r="D210" s="144" t="s">
        <v>117</v>
      </c>
      <c r="E210" s="145"/>
      <c r="F210" s="146"/>
    </row>
    <row r="211" ht="19.5" spans="1:6">
      <c r="A211" s="80"/>
      <c r="B211" s="81"/>
      <c r="C211" s="82"/>
      <c r="D211" s="74" t="s">
        <v>183</v>
      </c>
      <c r="E211" s="75"/>
      <c r="F211" s="76" t="s">
        <v>184</v>
      </c>
    </row>
    <row r="212" spans="1:6">
      <c r="A212" s="85" t="s">
        <v>107</v>
      </c>
      <c r="B212" s="86"/>
      <c r="C212" s="87" t="s">
        <v>185</v>
      </c>
      <c r="D212" s="87"/>
      <c r="E212" s="65"/>
      <c r="F212" s="13"/>
    </row>
    <row r="213" spans="1:6">
      <c r="A213" s="85"/>
      <c r="B213" s="86"/>
      <c r="C213" s="88" t="s">
        <v>186</v>
      </c>
      <c r="D213" s="88"/>
      <c r="E213" s="66"/>
      <c r="F213" s="11"/>
    </row>
    <row r="214" ht="16.5" spans="1:6">
      <c r="A214" s="89"/>
      <c r="B214" s="90"/>
      <c r="C214" s="91" t="s">
        <v>187</v>
      </c>
      <c r="D214" s="91"/>
      <c r="E214" s="64"/>
      <c r="F214" s="23"/>
    </row>
    <row r="215" spans="1:6">
      <c r="A215" s="92" t="s">
        <v>188</v>
      </c>
      <c r="B215" s="93"/>
      <c r="C215" s="87" t="s">
        <v>189</v>
      </c>
      <c r="D215" s="87"/>
      <c r="E215" s="65"/>
      <c r="F215" s="13"/>
    </row>
    <row r="216" spans="1:6">
      <c r="A216" s="85"/>
      <c r="B216" s="86"/>
      <c r="C216" s="94" t="s">
        <v>190</v>
      </c>
      <c r="D216" s="88"/>
      <c r="E216" s="66"/>
      <c r="F216" s="11"/>
    </row>
    <row r="217" ht="16.5" spans="1:6">
      <c r="A217" s="89"/>
      <c r="B217" s="90"/>
      <c r="C217" s="91" t="s">
        <v>191</v>
      </c>
      <c r="D217" s="91"/>
      <c r="E217" s="64"/>
      <c r="F217" s="23"/>
    </row>
    <row r="218" spans="1:6">
      <c r="A218" s="92" t="s">
        <v>192</v>
      </c>
      <c r="B218" s="93"/>
      <c r="C218" s="87" t="s">
        <v>193</v>
      </c>
      <c r="D218" s="87"/>
      <c r="E218" s="65"/>
      <c r="F218" s="13"/>
    </row>
    <row r="219" spans="1:6">
      <c r="A219" s="85"/>
      <c r="B219" s="86"/>
      <c r="C219" s="88" t="s">
        <v>194</v>
      </c>
      <c r="D219" s="88"/>
      <c r="E219" s="66"/>
      <c r="F219" s="11"/>
    </row>
    <row r="220" spans="1:6">
      <c r="A220" s="85"/>
      <c r="B220" s="86"/>
      <c r="C220" s="88" t="s">
        <v>195</v>
      </c>
      <c r="D220" s="88"/>
      <c r="E220" s="66"/>
      <c r="F220" s="11"/>
    </row>
    <row r="221" spans="1:6">
      <c r="A221" s="85"/>
      <c r="B221" s="86"/>
      <c r="C221" s="88" t="s">
        <v>196</v>
      </c>
      <c r="D221" s="88"/>
      <c r="E221" s="66"/>
      <c r="F221" s="11"/>
    </row>
    <row r="222" spans="1:6">
      <c r="A222" s="85"/>
      <c r="B222" s="86"/>
      <c r="C222" s="88" t="s">
        <v>197</v>
      </c>
      <c r="D222" s="88"/>
      <c r="E222" s="66"/>
      <c r="F222" s="11"/>
    </row>
    <row r="223" ht="16.5" spans="1:6">
      <c r="A223" s="89"/>
      <c r="B223" s="90"/>
      <c r="C223" s="95" t="s">
        <v>198</v>
      </c>
      <c r="D223" s="91"/>
      <c r="E223" s="64"/>
      <c r="F223" s="23"/>
    </row>
    <row r="224" spans="1:6">
      <c r="A224" s="92" t="s">
        <v>199</v>
      </c>
      <c r="B224" s="93"/>
      <c r="C224" s="87" t="s">
        <v>200</v>
      </c>
      <c r="D224" s="87"/>
      <c r="E224" s="65"/>
      <c r="F224" s="13"/>
    </row>
    <row r="225" spans="1:6">
      <c r="A225" s="85"/>
      <c r="B225" s="86"/>
      <c r="C225" s="88" t="s">
        <v>201</v>
      </c>
      <c r="D225" s="88"/>
      <c r="E225" s="66"/>
      <c r="F225" s="11"/>
    </row>
    <row r="226" spans="1:6">
      <c r="A226" s="85"/>
      <c r="B226" s="86"/>
      <c r="C226" s="88" t="s">
        <v>202</v>
      </c>
      <c r="D226" s="88"/>
      <c r="E226" s="66"/>
      <c r="F226" s="11"/>
    </row>
    <row r="227" spans="1:6">
      <c r="A227" s="85"/>
      <c r="B227" s="86"/>
      <c r="C227" s="88" t="s">
        <v>203</v>
      </c>
      <c r="D227" s="88"/>
      <c r="E227" s="66"/>
      <c r="F227" s="11"/>
    </row>
    <row r="228" spans="1:6">
      <c r="A228" s="85"/>
      <c r="B228" s="86"/>
      <c r="C228" s="88" t="s">
        <v>204</v>
      </c>
      <c r="D228" s="88"/>
      <c r="E228" s="66"/>
      <c r="F228" s="11"/>
    </row>
    <row r="229" ht="16.5" spans="1:6">
      <c r="A229" s="89"/>
      <c r="B229" s="90"/>
      <c r="C229" s="91" t="s">
        <v>205</v>
      </c>
      <c r="D229" s="91"/>
      <c r="E229" s="64"/>
      <c r="F229" s="23"/>
    </row>
    <row r="230" spans="1:6">
      <c r="A230" s="92" t="s">
        <v>206</v>
      </c>
      <c r="B230" s="93"/>
      <c r="C230" s="87" t="s">
        <v>207</v>
      </c>
      <c r="D230" s="87"/>
      <c r="E230" s="65"/>
      <c r="F230" s="13"/>
    </row>
    <row r="231" spans="1:6">
      <c r="A231" s="85"/>
      <c r="B231" s="86"/>
      <c r="C231" s="88" t="s">
        <v>208</v>
      </c>
      <c r="D231" s="88"/>
      <c r="E231" s="66"/>
      <c r="F231" s="11"/>
    </row>
    <row r="232" spans="1:6">
      <c r="A232" s="85"/>
      <c r="B232" s="86"/>
      <c r="C232" s="88" t="s">
        <v>209</v>
      </c>
      <c r="D232" s="88"/>
      <c r="E232" s="66"/>
      <c r="F232" s="11"/>
    </row>
    <row r="233" spans="1:6">
      <c r="A233" s="85"/>
      <c r="B233" s="86"/>
      <c r="C233" s="88" t="s">
        <v>210</v>
      </c>
      <c r="D233" s="88"/>
      <c r="E233" s="66"/>
      <c r="F233" s="11"/>
    </row>
    <row r="234" spans="1:6">
      <c r="A234" s="85"/>
      <c r="B234" s="86"/>
      <c r="C234" s="88" t="s">
        <v>211</v>
      </c>
      <c r="D234" s="88"/>
      <c r="E234" s="66"/>
      <c r="F234" s="11"/>
    </row>
    <row r="235" ht="16.5" spans="1:6">
      <c r="A235" s="89"/>
      <c r="B235" s="90"/>
      <c r="C235" s="91" t="s">
        <v>212</v>
      </c>
      <c r="D235" s="91"/>
      <c r="E235" s="64"/>
      <c r="F235" s="23"/>
    </row>
    <row r="236" spans="1:6">
      <c r="A236" s="92" t="s">
        <v>213</v>
      </c>
      <c r="B236" s="93"/>
      <c r="C236" s="87" t="s">
        <v>214</v>
      </c>
      <c r="D236" s="87"/>
      <c r="E236" s="65"/>
      <c r="F236" s="13"/>
    </row>
    <row r="237" spans="1:6">
      <c r="A237" s="85"/>
      <c r="B237" s="86"/>
      <c r="C237" s="88" t="s">
        <v>215</v>
      </c>
      <c r="D237" s="88"/>
      <c r="E237" s="66"/>
      <c r="F237" s="11"/>
    </row>
    <row r="238" spans="1:6">
      <c r="A238" s="85"/>
      <c r="B238" s="86"/>
      <c r="C238" s="88" t="s">
        <v>216</v>
      </c>
      <c r="D238" s="88"/>
      <c r="E238" s="66"/>
      <c r="F238" s="11"/>
    </row>
    <row r="239" spans="1:6">
      <c r="A239" s="85"/>
      <c r="B239" s="86"/>
      <c r="C239" s="88" t="s">
        <v>217</v>
      </c>
      <c r="D239" s="88"/>
      <c r="E239" s="66"/>
      <c r="F239" s="11"/>
    </row>
    <row r="240" spans="1:6">
      <c r="A240" s="85"/>
      <c r="B240" s="86"/>
      <c r="C240" s="94" t="s">
        <v>218</v>
      </c>
      <c r="D240" s="88"/>
      <c r="E240" s="66"/>
      <c r="F240" s="11"/>
    </row>
    <row r="241" ht="16.5" spans="1:6">
      <c r="A241" s="85"/>
      <c r="B241" s="86"/>
      <c r="C241" s="96" t="s">
        <v>219</v>
      </c>
      <c r="D241" s="96"/>
      <c r="E241" s="97"/>
      <c r="F241" s="33"/>
    </row>
    <row r="242" spans="1:6">
      <c r="A242" s="98" t="s">
        <v>220</v>
      </c>
      <c r="B242" s="99"/>
      <c r="C242" s="87" t="s">
        <v>221</v>
      </c>
      <c r="D242" s="100" t="s">
        <v>130</v>
      </c>
      <c r="E242" s="62"/>
      <c r="F242" s="65"/>
    </row>
    <row r="243" spans="1:6">
      <c r="A243" s="101"/>
      <c r="B243" s="102"/>
      <c r="C243" s="88" t="s">
        <v>222</v>
      </c>
      <c r="D243" s="103" t="s">
        <v>130</v>
      </c>
      <c r="E243" s="104"/>
      <c r="F243" s="66"/>
    </row>
    <row r="244" ht="16.5" spans="1:6">
      <c r="A244" s="105"/>
      <c r="B244" s="106"/>
      <c r="C244" s="91" t="s">
        <v>223</v>
      </c>
      <c r="D244" s="107" t="s">
        <v>130</v>
      </c>
      <c r="E244" s="63"/>
      <c r="F244" s="64"/>
    </row>
    <row r="245" spans="1:6">
      <c r="A245" s="108" t="s">
        <v>224</v>
      </c>
      <c r="B245" s="109"/>
      <c r="C245" s="110" t="s">
        <v>225</v>
      </c>
      <c r="D245" s="110"/>
      <c r="E245" s="67"/>
      <c r="F245" s="111"/>
    </row>
    <row r="246" ht="16.5" spans="1:6">
      <c r="A246" s="112"/>
      <c r="B246" s="113"/>
      <c r="C246" s="91" t="s">
        <v>226</v>
      </c>
      <c r="D246" s="91"/>
      <c r="E246" s="64"/>
      <c r="F246" s="23"/>
    </row>
    <row r="247" spans="1:6">
      <c r="A247" s="114" t="s">
        <v>227</v>
      </c>
      <c r="B247" s="115"/>
      <c r="C247" s="87" t="s">
        <v>228</v>
      </c>
      <c r="D247" s="87"/>
      <c r="E247" s="65"/>
      <c r="F247" s="13"/>
    </row>
    <row r="248" spans="1:6">
      <c r="A248" s="108"/>
      <c r="B248" s="109"/>
      <c r="C248" s="88" t="s">
        <v>229</v>
      </c>
      <c r="D248" s="88"/>
      <c r="E248" s="66"/>
      <c r="F248" s="11"/>
    </row>
    <row r="249" spans="1:6">
      <c r="A249" s="108"/>
      <c r="B249" s="109"/>
      <c r="C249" s="88" t="s">
        <v>230</v>
      </c>
      <c r="D249" s="88"/>
      <c r="E249" s="66"/>
      <c r="F249" s="11"/>
    </row>
    <row r="250" spans="1:6">
      <c r="A250" s="108"/>
      <c r="B250" s="109"/>
      <c r="C250" s="88" t="s">
        <v>231</v>
      </c>
      <c r="D250" s="88"/>
      <c r="E250" s="66"/>
      <c r="F250" s="11"/>
    </row>
    <row r="251" spans="1:6">
      <c r="A251" s="108"/>
      <c r="B251" s="109"/>
      <c r="C251" s="88" t="s">
        <v>232</v>
      </c>
      <c r="D251" s="88"/>
      <c r="E251" s="66"/>
      <c r="F251" s="11"/>
    </row>
    <row r="252" spans="1:6">
      <c r="A252" s="108"/>
      <c r="B252" s="109"/>
      <c r="C252" s="88" t="s">
        <v>233</v>
      </c>
      <c r="D252" s="88"/>
      <c r="E252" s="66"/>
      <c r="F252" s="11"/>
    </row>
    <row r="253" spans="1:6">
      <c r="A253" s="108"/>
      <c r="B253" s="109"/>
      <c r="C253" s="88" t="s">
        <v>234</v>
      </c>
      <c r="D253" s="88"/>
      <c r="E253" s="66"/>
      <c r="F253" s="11"/>
    </row>
    <row r="254" spans="1:6">
      <c r="A254" s="108"/>
      <c r="B254" s="109"/>
      <c r="C254" s="88" t="s">
        <v>235</v>
      </c>
      <c r="D254" s="88"/>
      <c r="E254" s="66"/>
      <c r="F254" s="11"/>
    </row>
    <row r="255" spans="1:6">
      <c r="A255" s="108"/>
      <c r="B255" s="109"/>
      <c r="C255" s="88" t="s">
        <v>236</v>
      </c>
      <c r="D255" s="88"/>
      <c r="E255" s="66"/>
      <c r="F255" s="11"/>
    </row>
    <row r="256" ht="16.5" spans="1:6">
      <c r="A256" s="112"/>
      <c r="B256" s="113"/>
      <c r="C256" s="91" t="s">
        <v>237</v>
      </c>
      <c r="D256" s="91"/>
      <c r="E256" s="64"/>
      <c r="F256" s="23"/>
    </row>
    <row r="257" ht="16.5" spans="1:1">
      <c r="A257" s="6"/>
    </row>
    <row r="258" ht="32" customHeight="1" spans="1:6">
      <c r="A258" s="116" t="s">
        <v>238</v>
      </c>
      <c r="B258" s="52"/>
      <c r="C258" s="135" t="s">
        <v>245</v>
      </c>
      <c r="D258" s="136"/>
      <c r="E258" s="136"/>
      <c r="F258" s="137"/>
    </row>
    <row r="260" spans="1:4">
      <c r="A260" s="120" t="s">
        <v>137</v>
      </c>
      <c r="B260" s="120"/>
      <c r="C260" s="120"/>
      <c r="D260" s="120" t="s">
        <v>138</v>
      </c>
    </row>
    <row r="261" spans="1:4">
      <c r="A261" s="120" t="s">
        <v>139</v>
      </c>
      <c r="B261" s="120"/>
      <c r="C261" s="120"/>
      <c r="D261" s="121" t="s">
        <v>240</v>
      </c>
    </row>
    <row r="262" spans="1:4">
      <c r="A262" s="120"/>
      <c r="B262" s="120"/>
      <c r="C262" s="120"/>
      <c r="D262" s="120"/>
    </row>
    <row r="263" spans="1:4">
      <c r="A263" s="120"/>
      <c r="B263" s="120"/>
      <c r="C263" s="120"/>
      <c r="D263" s="120"/>
    </row>
    <row r="264" spans="1:4">
      <c r="A264" s="122" t="str">
        <f>'DATA SISWA'!M12</f>
        <v>FIRDAUS</v>
      </c>
      <c r="B264" s="120"/>
      <c r="C264" s="120"/>
      <c r="D264" s="53" t="s">
        <v>241</v>
      </c>
    </row>
    <row r="265" spans="1:4">
      <c r="A265" s="120"/>
      <c r="B265" s="120"/>
      <c r="C265" s="120"/>
      <c r="D265" s="6" t="s">
        <v>242</v>
      </c>
    </row>
    <row r="269" spans="1:6">
      <c r="A269" s="2" t="s">
        <v>178</v>
      </c>
      <c r="B269" s="2"/>
      <c r="C269" s="2"/>
      <c r="D269" s="2"/>
      <c r="E269" s="2"/>
      <c r="F269" s="2"/>
    </row>
    <row r="270" spans="1:6">
      <c r="A270" s="2"/>
      <c r="B270" s="2"/>
      <c r="C270" s="2"/>
      <c r="D270" s="2"/>
      <c r="E270" s="2"/>
      <c r="F270" s="2"/>
    </row>
    <row r="271" spans="1:6">
      <c r="A271" s="2"/>
      <c r="B271" s="2"/>
      <c r="C271" s="2"/>
      <c r="D271" s="2"/>
      <c r="E271" s="2"/>
      <c r="F271" s="2"/>
    </row>
    <row r="272" spans="1:6">
      <c r="A272" s="3"/>
      <c r="B272" s="3"/>
      <c r="C272" s="3"/>
      <c r="D272" s="3"/>
      <c r="E272" s="3"/>
      <c r="F272" s="3"/>
    </row>
    <row r="274" spans="1:6">
      <c r="A274" s="73" t="s">
        <v>179</v>
      </c>
      <c r="B274" s="6" t="s">
        <v>111</v>
      </c>
      <c r="C274" s="6" t="str">
        <f>'DATA SISWA'!B13</f>
        <v>MUHAMMAD UWAIS AL QORNI ANDIEGA</v>
      </c>
      <c r="D274" s="73" t="s">
        <v>180</v>
      </c>
      <c r="E274" s="6" t="s">
        <v>111</v>
      </c>
      <c r="F274" s="5" t="s">
        <v>246</v>
      </c>
    </row>
    <row r="275" spans="1:6">
      <c r="A275" s="73" t="s">
        <v>113</v>
      </c>
      <c r="B275" s="6" t="s">
        <v>111</v>
      </c>
      <c r="C275" s="6" t="s">
        <v>3</v>
      </c>
      <c r="D275" s="73" t="s">
        <v>114</v>
      </c>
      <c r="E275" s="6" t="s">
        <v>111</v>
      </c>
      <c r="F275" s="6" t="s">
        <v>7</v>
      </c>
    </row>
    <row r="277" ht="19.5" spans="1:6">
      <c r="A277" s="74" t="s">
        <v>180</v>
      </c>
      <c r="B277" s="75"/>
      <c r="C277" s="76" t="s">
        <v>182</v>
      </c>
      <c r="D277" s="77" t="s">
        <v>117</v>
      </c>
      <c r="E277" s="78"/>
      <c r="F277" s="79"/>
    </row>
    <row r="278" ht="19.5" spans="1:6">
      <c r="A278" s="80"/>
      <c r="B278" s="81"/>
      <c r="C278" s="82"/>
      <c r="D278" s="139" t="s">
        <v>183</v>
      </c>
      <c r="E278" s="140"/>
      <c r="F278" s="84" t="s">
        <v>184</v>
      </c>
    </row>
    <row r="279" spans="1:6">
      <c r="A279" s="85" t="s">
        <v>107</v>
      </c>
      <c r="B279" s="86"/>
      <c r="C279" s="87" t="s">
        <v>185</v>
      </c>
      <c r="D279" s="87"/>
      <c r="E279" s="65"/>
      <c r="F279" s="13"/>
    </row>
    <row r="280" spans="1:6">
      <c r="A280" s="85"/>
      <c r="B280" s="86"/>
      <c r="C280" s="88" t="s">
        <v>186</v>
      </c>
      <c r="D280" s="88"/>
      <c r="E280" s="66"/>
      <c r="F280" s="11"/>
    </row>
    <row r="281" ht="16.5" spans="1:6">
      <c r="A281" s="89"/>
      <c r="B281" s="90"/>
      <c r="C281" s="91" t="s">
        <v>187</v>
      </c>
      <c r="D281" s="91"/>
      <c r="E281" s="64"/>
      <c r="F281" s="23"/>
    </row>
    <row r="282" spans="1:6">
      <c r="A282" s="92" t="s">
        <v>188</v>
      </c>
      <c r="B282" s="93"/>
      <c r="C282" s="87" t="s">
        <v>189</v>
      </c>
      <c r="D282" s="87"/>
      <c r="E282" s="65"/>
      <c r="F282" s="13"/>
    </row>
    <row r="283" spans="1:6">
      <c r="A283" s="85"/>
      <c r="B283" s="86"/>
      <c r="C283" s="94" t="s">
        <v>190</v>
      </c>
      <c r="D283" s="88"/>
      <c r="E283" s="66"/>
      <c r="F283" s="11"/>
    </row>
    <row r="284" ht="16.5" spans="1:6">
      <c r="A284" s="89"/>
      <c r="B284" s="90"/>
      <c r="C284" s="91" t="s">
        <v>191</v>
      </c>
      <c r="D284" s="91"/>
      <c r="E284" s="64"/>
      <c r="F284" s="23"/>
    </row>
    <row r="285" spans="1:6">
      <c r="A285" s="92" t="s">
        <v>192</v>
      </c>
      <c r="B285" s="93"/>
      <c r="C285" s="87" t="s">
        <v>193</v>
      </c>
      <c r="D285" s="100" t="s">
        <v>31</v>
      </c>
      <c r="E285" s="62"/>
      <c r="F285" s="13"/>
    </row>
    <row r="286" spans="1:6">
      <c r="A286" s="85"/>
      <c r="B286" s="86"/>
      <c r="C286" s="88" t="s">
        <v>194</v>
      </c>
      <c r="D286" s="103" t="s">
        <v>31</v>
      </c>
      <c r="E286" s="104"/>
      <c r="F286" s="11"/>
    </row>
    <row r="287" spans="1:6">
      <c r="A287" s="85"/>
      <c r="B287" s="86"/>
      <c r="C287" s="88" t="s">
        <v>195</v>
      </c>
      <c r="D287" s="103" t="s">
        <v>31</v>
      </c>
      <c r="E287" s="104"/>
      <c r="F287" s="11"/>
    </row>
    <row r="288" spans="1:6">
      <c r="A288" s="85"/>
      <c r="B288" s="86"/>
      <c r="C288" s="88" t="s">
        <v>196</v>
      </c>
      <c r="D288" s="103" t="s">
        <v>108</v>
      </c>
      <c r="E288" s="104"/>
      <c r="F288" s="11"/>
    </row>
    <row r="289" spans="1:6">
      <c r="A289" s="85"/>
      <c r="B289" s="86"/>
      <c r="C289" s="88" t="s">
        <v>197</v>
      </c>
      <c r="D289" s="103" t="s">
        <v>130</v>
      </c>
      <c r="E289" s="104"/>
      <c r="F289" s="11"/>
    </row>
    <row r="290" ht="16.5" spans="1:6">
      <c r="A290" s="89"/>
      <c r="B290" s="90"/>
      <c r="C290" s="95" t="s">
        <v>198</v>
      </c>
      <c r="D290" s="107" t="s">
        <v>108</v>
      </c>
      <c r="E290" s="63"/>
      <c r="F290" s="23"/>
    </row>
    <row r="291" spans="1:6">
      <c r="A291" s="92" t="s">
        <v>199</v>
      </c>
      <c r="B291" s="93"/>
      <c r="C291" s="87" t="s">
        <v>200</v>
      </c>
      <c r="D291" s="100" t="s">
        <v>130</v>
      </c>
      <c r="E291" s="62"/>
      <c r="F291" s="13"/>
    </row>
    <row r="292" spans="1:6">
      <c r="A292" s="85"/>
      <c r="B292" s="86"/>
      <c r="C292" s="88" t="s">
        <v>201</v>
      </c>
      <c r="D292" s="103" t="s">
        <v>31</v>
      </c>
      <c r="E292" s="104"/>
      <c r="F292" s="11"/>
    </row>
    <row r="293" spans="1:6">
      <c r="A293" s="85"/>
      <c r="B293" s="86"/>
      <c r="C293" s="88" t="s">
        <v>202</v>
      </c>
      <c r="D293" s="103" t="s">
        <v>31</v>
      </c>
      <c r="E293" s="104"/>
      <c r="F293" s="11"/>
    </row>
    <row r="294" spans="1:6">
      <c r="A294" s="85"/>
      <c r="B294" s="86"/>
      <c r="C294" s="88" t="s">
        <v>203</v>
      </c>
      <c r="D294" s="103" t="s">
        <v>31</v>
      </c>
      <c r="E294" s="104"/>
      <c r="F294" s="11"/>
    </row>
    <row r="295" spans="1:6">
      <c r="A295" s="85"/>
      <c r="B295" s="86"/>
      <c r="C295" s="88" t="s">
        <v>204</v>
      </c>
      <c r="D295" s="103" t="s">
        <v>31</v>
      </c>
      <c r="E295" s="104"/>
      <c r="F295" s="11"/>
    </row>
    <row r="296" ht="16.5" spans="1:6">
      <c r="A296" s="89"/>
      <c r="B296" s="90"/>
      <c r="C296" s="91" t="s">
        <v>205</v>
      </c>
      <c r="D296" s="103" t="s">
        <v>31</v>
      </c>
      <c r="E296" s="104"/>
      <c r="F296" s="23"/>
    </row>
    <row r="297" spans="1:6">
      <c r="A297" s="92" t="s">
        <v>206</v>
      </c>
      <c r="B297" s="93"/>
      <c r="C297" s="87" t="s">
        <v>207</v>
      </c>
      <c r="D297" s="87"/>
      <c r="E297" s="65"/>
      <c r="F297" s="13"/>
    </row>
    <row r="298" spans="1:6">
      <c r="A298" s="85"/>
      <c r="B298" s="86"/>
      <c r="C298" s="88" t="s">
        <v>208</v>
      </c>
      <c r="D298" s="88"/>
      <c r="E298" s="66"/>
      <c r="F298" s="11"/>
    </row>
    <row r="299" spans="1:6">
      <c r="A299" s="85"/>
      <c r="B299" s="86"/>
      <c r="C299" s="88" t="s">
        <v>209</v>
      </c>
      <c r="D299" s="88"/>
      <c r="E299" s="66"/>
      <c r="F299" s="11"/>
    </row>
    <row r="300" spans="1:6">
      <c r="A300" s="85"/>
      <c r="B300" s="86"/>
      <c r="C300" s="88" t="s">
        <v>210</v>
      </c>
      <c r="D300" s="88"/>
      <c r="E300" s="66"/>
      <c r="F300" s="11"/>
    </row>
    <row r="301" spans="1:6">
      <c r="A301" s="85"/>
      <c r="B301" s="86"/>
      <c r="C301" s="88" t="s">
        <v>211</v>
      </c>
      <c r="D301" s="88"/>
      <c r="E301" s="66"/>
      <c r="F301" s="11"/>
    </row>
    <row r="302" ht="16.5" spans="1:6">
      <c r="A302" s="89"/>
      <c r="B302" s="90"/>
      <c r="C302" s="91" t="s">
        <v>212</v>
      </c>
      <c r="D302" s="91"/>
      <c r="E302" s="64"/>
      <c r="F302" s="23"/>
    </row>
    <row r="303" spans="1:6">
      <c r="A303" s="92" t="s">
        <v>213</v>
      </c>
      <c r="B303" s="93"/>
      <c r="C303" s="87" t="s">
        <v>214</v>
      </c>
      <c r="D303" s="87"/>
      <c r="E303" s="65"/>
      <c r="F303" s="13"/>
    </row>
    <row r="304" spans="1:6">
      <c r="A304" s="85"/>
      <c r="B304" s="86"/>
      <c r="C304" s="88" t="s">
        <v>215</v>
      </c>
      <c r="D304" s="88"/>
      <c r="E304" s="66"/>
      <c r="F304" s="11"/>
    </row>
    <row r="305" spans="1:6">
      <c r="A305" s="85"/>
      <c r="B305" s="86"/>
      <c r="C305" s="88" t="s">
        <v>216</v>
      </c>
      <c r="D305" s="88"/>
      <c r="E305" s="66"/>
      <c r="F305" s="11"/>
    </row>
    <row r="306" spans="1:6">
      <c r="A306" s="85"/>
      <c r="B306" s="86"/>
      <c r="C306" s="88" t="s">
        <v>217</v>
      </c>
      <c r="D306" s="88"/>
      <c r="E306" s="66"/>
      <c r="F306" s="11"/>
    </row>
    <row r="307" spans="1:6">
      <c r="A307" s="85"/>
      <c r="B307" s="86"/>
      <c r="C307" s="94" t="s">
        <v>218</v>
      </c>
      <c r="D307" s="88"/>
      <c r="E307" s="66"/>
      <c r="F307" s="11"/>
    </row>
    <row r="308" ht="16.5" spans="1:6">
      <c r="A308" s="85"/>
      <c r="B308" s="86"/>
      <c r="C308" s="96" t="s">
        <v>219</v>
      </c>
      <c r="D308" s="96"/>
      <c r="E308" s="97"/>
      <c r="F308" s="33"/>
    </row>
    <row r="309" spans="1:6">
      <c r="A309" s="98" t="s">
        <v>220</v>
      </c>
      <c r="B309" s="99"/>
      <c r="C309" s="87" t="s">
        <v>221</v>
      </c>
      <c r="D309" s="87"/>
      <c r="E309" s="65"/>
      <c r="F309" s="65"/>
    </row>
    <row r="310" spans="1:6">
      <c r="A310" s="101"/>
      <c r="B310" s="102"/>
      <c r="C310" s="88" t="s">
        <v>222</v>
      </c>
      <c r="D310" s="88"/>
      <c r="E310" s="66"/>
      <c r="F310" s="66"/>
    </row>
    <row r="311" ht="16.5" spans="1:6">
      <c r="A311" s="105"/>
      <c r="B311" s="106"/>
      <c r="C311" s="91" t="s">
        <v>223</v>
      </c>
      <c r="D311" s="91"/>
      <c r="E311" s="64"/>
      <c r="F311" s="64"/>
    </row>
    <row r="312" spans="1:6">
      <c r="A312" s="108" t="s">
        <v>224</v>
      </c>
      <c r="B312" s="109"/>
      <c r="C312" s="110" t="s">
        <v>225</v>
      </c>
      <c r="D312" s="110"/>
      <c r="E312" s="67"/>
      <c r="F312" s="111"/>
    </row>
    <row r="313" ht="16.5" spans="1:6">
      <c r="A313" s="112"/>
      <c r="B313" s="113"/>
      <c r="C313" s="91" t="s">
        <v>226</v>
      </c>
      <c r="D313" s="91"/>
      <c r="E313" s="64"/>
      <c r="F313" s="23"/>
    </row>
    <row r="314" spans="1:6">
      <c r="A314" s="114" t="s">
        <v>227</v>
      </c>
      <c r="B314" s="115"/>
      <c r="C314" s="87" t="s">
        <v>228</v>
      </c>
      <c r="D314" s="87"/>
      <c r="E314" s="65"/>
      <c r="F314" s="13"/>
    </row>
    <row r="315" spans="1:6">
      <c r="A315" s="108"/>
      <c r="B315" s="109"/>
      <c r="C315" s="88" t="s">
        <v>229</v>
      </c>
      <c r="D315" s="88"/>
      <c r="E315" s="66"/>
      <c r="F315" s="11"/>
    </row>
    <row r="316" spans="1:6">
      <c r="A316" s="108"/>
      <c r="B316" s="109"/>
      <c r="C316" s="88" t="s">
        <v>230</v>
      </c>
      <c r="D316" s="88"/>
      <c r="E316" s="66"/>
      <c r="F316" s="11"/>
    </row>
    <row r="317" spans="1:6">
      <c r="A317" s="108"/>
      <c r="B317" s="109"/>
      <c r="C317" s="88" t="s">
        <v>231</v>
      </c>
      <c r="D317" s="88"/>
      <c r="E317" s="66"/>
      <c r="F317" s="11"/>
    </row>
    <row r="318" spans="1:6">
      <c r="A318" s="108"/>
      <c r="B318" s="109"/>
      <c r="C318" s="88" t="s">
        <v>232</v>
      </c>
      <c r="D318" s="88"/>
      <c r="E318" s="66"/>
      <c r="F318" s="11"/>
    </row>
    <row r="319" spans="1:6">
      <c r="A319" s="108"/>
      <c r="B319" s="109"/>
      <c r="C319" s="88" t="s">
        <v>233</v>
      </c>
      <c r="D319" s="88"/>
      <c r="E319" s="66"/>
      <c r="F319" s="11"/>
    </row>
    <row r="320" spans="1:6">
      <c r="A320" s="108"/>
      <c r="B320" s="109"/>
      <c r="C320" s="88" t="s">
        <v>234</v>
      </c>
      <c r="D320" s="88"/>
      <c r="E320" s="66"/>
      <c r="F320" s="11"/>
    </row>
    <row r="321" spans="1:6">
      <c r="A321" s="108"/>
      <c r="B321" s="109"/>
      <c r="C321" s="88" t="s">
        <v>235</v>
      </c>
      <c r="D321" s="88"/>
      <c r="E321" s="66"/>
      <c r="F321" s="11"/>
    </row>
    <row r="322" spans="1:6">
      <c r="A322" s="108"/>
      <c r="B322" s="109"/>
      <c r="C322" s="88" t="s">
        <v>236</v>
      </c>
      <c r="D322" s="88"/>
      <c r="E322" s="66"/>
      <c r="F322" s="11"/>
    </row>
    <row r="323" ht="16.5" spans="1:6">
      <c r="A323" s="112"/>
      <c r="B323" s="113"/>
      <c r="C323" s="91" t="s">
        <v>237</v>
      </c>
      <c r="D323" s="91"/>
      <c r="E323" s="64"/>
      <c r="F323" s="23"/>
    </row>
    <row r="324" ht="16.5" spans="1:1">
      <c r="A324" s="6"/>
    </row>
    <row r="325" ht="47" customHeight="1" spans="1:6">
      <c r="A325" s="116" t="s">
        <v>238</v>
      </c>
      <c r="B325" s="52"/>
      <c r="C325" s="141" t="s">
        <v>247</v>
      </c>
      <c r="D325" s="142"/>
      <c r="E325" s="142"/>
      <c r="F325" s="143"/>
    </row>
    <row r="327" spans="1:4">
      <c r="A327" s="120" t="s">
        <v>137</v>
      </c>
      <c r="B327" s="120"/>
      <c r="C327" s="147"/>
      <c r="D327" s="120" t="s">
        <v>138</v>
      </c>
    </row>
    <row r="328" spans="1:4">
      <c r="A328" s="120" t="s">
        <v>139</v>
      </c>
      <c r="B328" s="120"/>
      <c r="C328" s="120"/>
      <c r="D328" s="121" t="s">
        <v>240</v>
      </c>
    </row>
    <row r="329" spans="1:4">
      <c r="A329" s="120"/>
      <c r="B329" s="120"/>
      <c r="C329" s="120"/>
      <c r="D329" s="120"/>
    </row>
    <row r="330" spans="1:4">
      <c r="A330" s="120"/>
      <c r="B330" s="120"/>
      <c r="C330" s="120"/>
      <c r="D330" s="120"/>
    </row>
    <row r="331" spans="1:4">
      <c r="A331" s="122" t="str">
        <f>'DATA SISWA'!M13</f>
        <v>ANDI SAPUTRA</v>
      </c>
      <c r="B331" s="120"/>
      <c r="C331" s="120"/>
      <c r="D331" s="53" t="s">
        <v>241</v>
      </c>
    </row>
    <row r="332" spans="1:4">
      <c r="A332" s="120"/>
      <c r="B332" s="120"/>
      <c r="C332" s="120"/>
      <c r="D332" s="6" t="s">
        <v>242</v>
      </c>
    </row>
    <row r="336" spans="1:6">
      <c r="A336" s="2" t="s">
        <v>178</v>
      </c>
      <c r="B336" s="2"/>
      <c r="C336" s="2"/>
      <c r="D336" s="2"/>
      <c r="E336" s="2"/>
      <c r="F336" s="2"/>
    </row>
    <row r="337" spans="1:6">
      <c r="A337" s="2"/>
      <c r="B337" s="2"/>
      <c r="C337" s="2"/>
      <c r="D337" s="2"/>
      <c r="E337" s="2"/>
      <c r="F337" s="2"/>
    </row>
    <row r="338" spans="1:6">
      <c r="A338" s="2"/>
      <c r="B338" s="2"/>
      <c r="C338" s="2"/>
      <c r="D338" s="2"/>
      <c r="E338" s="2"/>
      <c r="F338" s="2"/>
    </row>
    <row r="339" spans="1:6">
      <c r="A339" s="3"/>
      <c r="B339" s="3"/>
      <c r="C339" s="3"/>
      <c r="D339" s="3"/>
      <c r="E339" s="3"/>
      <c r="F339" s="3"/>
    </row>
    <row r="341" spans="1:6">
      <c r="A341" s="73" t="s">
        <v>179</v>
      </c>
      <c r="B341" s="6" t="s">
        <v>111</v>
      </c>
      <c r="C341" s="6" t="str">
        <f>'DATA SISWA'!B14</f>
        <v>MUSTOFA ABDUL KARIM BENZEMA</v>
      </c>
      <c r="D341" s="73" t="s">
        <v>180</v>
      </c>
      <c r="E341" s="6" t="s">
        <v>111</v>
      </c>
      <c r="F341" s="5">
        <v>5</v>
      </c>
    </row>
    <row r="342" spans="1:6">
      <c r="A342" s="73" t="s">
        <v>113</v>
      </c>
      <c r="B342" s="6" t="s">
        <v>111</v>
      </c>
      <c r="C342" s="6" t="s">
        <v>3</v>
      </c>
      <c r="D342" s="73" t="s">
        <v>114</v>
      </c>
      <c r="E342" s="6" t="s">
        <v>111</v>
      </c>
      <c r="F342" s="6" t="s">
        <v>7</v>
      </c>
    </row>
    <row r="344" ht="19.5" spans="1:6">
      <c r="A344" s="74" t="s">
        <v>180</v>
      </c>
      <c r="B344" s="75"/>
      <c r="C344" s="76" t="s">
        <v>182</v>
      </c>
      <c r="D344" s="144" t="s">
        <v>117</v>
      </c>
      <c r="E344" s="145"/>
      <c r="F344" s="146"/>
    </row>
    <row r="345" ht="19.5" spans="1:6">
      <c r="A345" s="80"/>
      <c r="B345" s="81"/>
      <c r="C345" s="82"/>
      <c r="D345" s="74" t="s">
        <v>183</v>
      </c>
      <c r="E345" s="75"/>
      <c r="F345" s="76" t="s">
        <v>184</v>
      </c>
    </row>
    <row r="346" spans="1:6">
      <c r="A346" s="85" t="s">
        <v>107</v>
      </c>
      <c r="B346" s="86"/>
      <c r="C346" s="87" t="s">
        <v>185</v>
      </c>
      <c r="D346" s="87"/>
      <c r="E346" s="65"/>
      <c r="F346" s="13"/>
    </row>
    <row r="347" spans="1:6">
      <c r="A347" s="85"/>
      <c r="B347" s="86"/>
      <c r="C347" s="88" t="s">
        <v>186</v>
      </c>
      <c r="D347" s="88"/>
      <c r="E347" s="66"/>
      <c r="F347" s="11"/>
    </row>
    <row r="348" ht="16.5" spans="1:6">
      <c r="A348" s="89"/>
      <c r="B348" s="90"/>
      <c r="C348" s="91" t="s">
        <v>187</v>
      </c>
      <c r="D348" s="91"/>
      <c r="E348" s="64"/>
      <c r="F348" s="23"/>
    </row>
    <row r="349" spans="1:6">
      <c r="A349" s="92" t="s">
        <v>188</v>
      </c>
      <c r="B349" s="93"/>
      <c r="C349" s="87" t="s">
        <v>189</v>
      </c>
      <c r="D349" s="87"/>
      <c r="E349" s="65"/>
      <c r="F349" s="13"/>
    </row>
    <row r="350" spans="1:6">
      <c r="A350" s="85"/>
      <c r="B350" s="86"/>
      <c r="C350" s="94" t="s">
        <v>190</v>
      </c>
      <c r="D350" s="88"/>
      <c r="E350" s="66"/>
      <c r="F350" s="11"/>
    </row>
    <row r="351" ht="16.5" spans="1:6">
      <c r="A351" s="89"/>
      <c r="B351" s="90"/>
      <c r="C351" s="91" t="s">
        <v>191</v>
      </c>
      <c r="D351" s="91"/>
      <c r="E351" s="64"/>
      <c r="F351" s="23"/>
    </row>
    <row r="352" spans="1:6">
      <c r="A352" s="92" t="s">
        <v>192</v>
      </c>
      <c r="B352" s="93"/>
      <c r="C352" s="87" t="s">
        <v>193</v>
      </c>
      <c r="D352" s="87"/>
      <c r="E352" s="65"/>
      <c r="F352" s="13"/>
    </row>
    <row r="353" spans="1:6">
      <c r="A353" s="85"/>
      <c r="B353" s="86"/>
      <c r="C353" s="88" t="s">
        <v>194</v>
      </c>
      <c r="D353" s="88"/>
      <c r="E353" s="66"/>
      <c r="F353" s="11"/>
    </row>
    <row r="354" spans="1:6">
      <c r="A354" s="85"/>
      <c r="B354" s="86"/>
      <c r="C354" s="88" t="s">
        <v>195</v>
      </c>
      <c r="D354" s="88"/>
      <c r="E354" s="66"/>
      <c r="F354" s="11"/>
    </row>
    <row r="355" spans="1:6">
      <c r="A355" s="85"/>
      <c r="B355" s="86"/>
      <c r="C355" s="88" t="s">
        <v>196</v>
      </c>
      <c r="D355" s="88"/>
      <c r="E355" s="66"/>
      <c r="F355" s="11"/>
    </row>
    <row r="356" spans="1:6">
      <c r="A356" s="85"/>
      <c r="B356" s="86"/>
      <c r="C356" s="88" t="s">
        <v>197</v>
      </c>
      <c r="D356" s="88"/>
      <c r="E356" s="66"/>
      <c r="F356" s="11"/>
    </row>
    <row r="357" ht="16.5" spans="1:6">
      <c r="A357" s="89"/>
      <c r="B357" s="90"/>
      <c r="C357" s="95" t="s">
        <v>198</v>
      </c>
      <c r="D357" s="91"/>
      <c r="E357" s="64"/>
      <c r="F357" s="23"/>
    </row>
    <row r="358" spans="1:6">
      <c r="A358" s="92" t="s">
        <v>199</v>
      </c>
      <c r="B358" s="93"/>
      <c r="C358" s="87" t="s">
        <v>200</v>
      </c>
      <c r="D358" s="87"/>
      <c r="E358" s="65"/>
      <c r="F358" s="13"/>
    </row>
    <row r="359" spans="1:6">
      <c r="A359" s="85"/>
      <c r="B359" s="86"/>
      <c r="C359" s="88" t="s">
        <v>201</v>
      </c>
      <c r="D359" s="88"/>
      <c r="E359" s="66"/>
      <c r="F359" s="11"/>
    </row>
    <row r="360" spans="1:6">
      <c r="A360" s="85"/>
      <c r="B360" s="86"/>
      <c r="C360" s="88" t="s">
        <v>202</v>
      </c>
      <c r="D360" s="88"/>
      <c r="E360" s="66"/>
      <c r="F360" s="11"/>
    </row>
    <row r="361" spans="1:6">
      <c r="A361" s="85"/>
      <c r="B361" s="86"/>
      <c r="C361" s="88" t="s">
        <v>203</v>
      </c>
      <c r="D361" s="88"/>
      <c r="E361" s="66"/>
      <c r="F361" s="11"/>
    </row>
    <row r="362" spans="1:6">
      <c r="A362" s="85"/>
      <c r="B362" s="86"/>
      <c r="C362" s="88" t="s">
        <v>204</v>
      </c>
      <c r="D362" s="88"/>
      <c r="E362" s="66"/>
      <c r="F362" s="11"/>
    </row>
    <row r="363" ht="16.5" spans="1:6">
      <c r="A363" s="89"/>
      <c r="B363" s="90"/>
      <c r="C363" s="91" t="s">
        <v>205</v>
      </c>
      <c r="D363" s="91"/>
      <c r="E363" s="64"/>
      <c r="F363" s="23"/>
    </row>
    <row r="364" spans="1:6">
      <c r="A364" s="92" t="s">
        <v>206</v>
      </c>
      <c r="B364" s="93"/>
      <c r="C364" s="87" t="s">
        <v>207</v>
      </c>
      <c r="D364" s="100" t="s">
        <v>31</v>
      </c>
      <c r="E364" s="62"/>
      <c r="F364" s="13"/>
    </row>
    <row r="365" spans="1:6">
      <c r="A365" s="85"/>
      <c r="B365" s="86"/>
      <c r="C365" s="88" t="s">
        <v>208</v>
      </c>
      <c r="D365" s="103" t="s">
        <v>108</v>
      </c>
      <c r="E365" s="104"/>
      <c r="F365" s="11"/>
    </row>
    <row r="366" spans="1:6">
      <c r="A366" s="85"/>
      <c r="B366" s="86"/>
      <c r="C366" s="88" t="s">
        <v>209</v>
      </c>
      <c r="D366" s="103" t="s">
        <v>130</v>
      </c>
      <c r="E366" s="104"/>
      <c r="F366" s="11"/>
    </row>
    <row r="367" spans="1:6">
      <c r="A367" s="85"/>
      <c r="B367" s="86"/>
      <c r="C367" s="88" t="s">
        <v>210</v>
      </c>
      <c r="D367" s="103" t="s">
        <v>130</v>
      </c>
      <c r="E367" s="104"/>
      <c r="F367" s="11"/>
    </row>
    <row r="368" spans="1:6">
      <c r="A368" s="85"/>
      <c r="B368" s="86"/>
      <c r="C368" s="88" t="s">
        <v>211</v>
      </c>
      <c r="D368" s="103" t="s">
        <v>130</v>
      </c>
      <c r="E368" s="104"/>
      <c r="F368" s="11"/>
    </row>
    <row r="369" ht="16.5" spans="1:6">
      <c r="A369" s="89"/>
      <c r="B369" s="90"/>
      <c r="C369" s="91" t="s">
        <v>212</v>
      </c>
      <c r="D369" s="107" t="s">
        <v>108</v>
      </c>
      <c r="E369" s="63"/>
      <c r="F369" s="23"/>
    </row>
    <row r="370" spans="1:6">
      <c r="A370" s="92" t="s">
        <v>213</v>
      </c>
      <c r="B370" s="93"/>
      <c r="C370" s="87" t="s">
        <v>214</v>
      </c>
      <c r="D370" s="87"/>
      <c r="E370" s="65"/>
      <c r="F370" s="13"/>
    </row>
    <row r="371" spans="1:6">
      <c r="A371" s="85"/>
      <c r="B371" s="86"/>
      <c r="C371" s="88" t="s">
        <v>215</v>
      </c>
      <c r="D371" s="88"/>
      <c r="E371" s="66"/>
      <c r="F371" s="11"/>
    </row>
    <row r="372" spans="1:6">
      <c r="A372" s="85"/>
      <c r="B372" s="86"/>
      <c r="C372" s="88" t="s">
        <v>216</v>
      </c>
      <c r="D372" s="88"/>
      <c r="E372" s="66"/>
      <c r="F372" s="11"/>
    </row>
    <row r="373" spans="1:6">
      <c r="A373" s="85"/>
      <c r="B373" s="86"/>
      <c r="C373" s="88" t="s">
        <v>217</v>
      </c>
      <c r="D373" s="88"/>
      <c r="E373" s="66"/>
      <c r="F373" s="11"/>
    </row>
    <row r="374" spans="1:6">
      <c r="A374" s="85"/>
      <c r="B374" s="86"/>
      <c r="C374" s="94" t="s">
        <v>218</v>
      </c>
      <c r="D374" s="88"/>
      <c r="E374" s="66"/>
      <c r="F374" s="11"/>
    </row>
    <row r="375" ht="16.5" spans="1:6">
      <c r="A375" s="85"/>
      <c r="B375" s="86"/>
      <c r="C375" s="96" t="s">
        <v>219</v>
      </c>
      <c r="D375" s="96"/>
      <c r="E375" s="97"/>
      <c r="F375" s="33"/>
    </row>
    <row r="376" spans="1:6">
      <c r="A376" s="98" t="s">
        <v>220</v>
      </c>
      <c r="B376" s="99"/>
      <c r="C376" s="87" t="s">
        <v>221</v>
      </c>
      <c r="D376" s="87"/>
      <c r="E376" s="65"/>
      <c r="F376" s="65"/>
    </row>
    <row r="377" spans="1:6">
      <c r="A377" s="101"/>
      <c r="B377" s="102"/>
      <c r="C377" s="88" t="s">
        <v>222</v>
      </c>
      <c r="D377" s="88"/>
      <c r="E377" s="66"/>
      <c r="F377" s="66"/>
    </row>
    <row r="378" ht="16.5" spans="1:6">
      <c r="A378" s="105"/>
      <c r="B378" s="106"/>
      <c r="C378" s="91" t="s">
        <v>223</v>
      </c>
      <c r="D378" s="91"/>
      <c r="E378" s="64"/>
      <c r="F378" s="64"/>
    </row>
    <row r="379" spans="1:6">
      <c r="A379" s="108" t="s">
        <v>224</v>
      </c>
      <c r="B379" s="109"/>
      <c r="C379" s="110" t="s">
        <v>225</v>
      </c>
      <c r="D379" s="110"/>
      <c r="E379" s="67"/>
      <c r="F379" s="111"/>
    </row>
    <row r="380" ht="16.5" spans="1:6">
      <c r="A380" s="112"/>
      <c r="B380" s="113"/>
      <c r="C380" s="91" t="s">
        <v>226</v>
      </c>
      <c r="D380" s="91"/>
      <c r="E380" s="64"/>
      <c r="F380" s="23"/>
    </row>
    <row r="381" spans="1:6">
      <c r="A381" s="114" t="s">
        <v>227</v>
      </c>
      <c r="B381" s="115"/>
      <c r="C381" s="87" t="s">
        <v>228</v>
      </c>
      <c r="D381" s="87"/>
      <c r="E381" s="65"/>
      <c r="F381" s="13"/>
    </row>
    <row r="382" spans="1:6">
      <c r="A382" s="108"/>
      <c r="B382" s="109"/>
      <c r="C382" s="88" t="s">
        <v>229</v>
      </c>
      <c r="D382" s="88"/>
      <c r="E382" s="66"/>
      <c r="F382" s="11"/>
    </row>
    <row r="383" spans="1:6">
      <c r="A383" s="108"/>
      <c r="B383" s="109"/>
      <c r="C383" s="88" t="s">
        <v>230</v>
      </c>
      <c r="D383" s="88"/>
      <c r="E383" s="66"/>
      <c r="F383" s="11"/>
    </row>
    <row r="384" spans="1:6">
      <c r="A384" s="108"/>
      <c r="B384" s="109"/>
      <c r="C384" s="88" t="s">
        <v>231</v>
      </c>
      <c r="D384" s="88"/>
      <c r="E384" s="66"/>
      <c r="F384" s="11"/>
    </row>
    <row r="385" spans="1:6">
      <c r="A385" s="108"/>
      <c r="B385" s="109"/>
      <c r="C385" s="88" t="s">
        <v>232</v>
      </c>
      <c r="D385" s="88"/>
      <c r="E385" s="66"/>
      <c r="F385" s="11"/>
    </row>
    <row r="386" spans="1:6">
      <c r="A386" s="108"/>
      <c r="B386" s="109"/>
      <c r="C386" s="88" t="s">
        <v>233</v>
      </c>
      <c r="D386" s="88"/>
      <c r="E386" s="66"/>
      <c r="F386" s="11"/>
    </row>
    <row r="387" spans="1:6">
      <c r="A387" s="108"/>
      <c r="B387" s="109"/>
      <c r="C387" s="88" t="s">
        <v>234</v>
      </c>
      <c r="D387" s="88"/>
      <c r="E387" s="66"/>
      <c r="F387" s="11"/>
    </row>
    <row r="388" spans="1:6">
      <c r="A388" s="108"/>
      <c r="B388" s="109"/>
      <c r="C388" s="88" t="s">
        <v>235</v>
      </c>
      <c r="D388" s="88"/>
      <c r="E388" s="66"/>
      <c r="F388" s="11"/>
    </row>
    <row r="389" spans="1:6">
      <c r="A389" s="108"/>
      <c r="B389" s="109"/>
      <c r="C389" s="88" t="s">
        <v>236</v>
      </c>
      <c r="D389" s="88"/>
      <c r="E389" s="66"/>
      <c r="F389" s="11"/>
    </row>
    <row r="390" ht="16.5" spans="1:6">
      <c r="A390" s="112"/>
      <c r="B390" s="113"/>
      <c r="C390" s="91" t="s">
        <v>237</v>
      </c>
      <c r="D390" s="91"/>
      <c r="E390" s="64"/>
      <c r="F390" s="23"/>
    </row>
    <row r="391" ht="16.5" spans="1:1">
      <c r="A391" s="6"/>
    </row>
    <row r="392" ht="30" customHeight="1" spans="1:6">
      <c r="A392" s="116" t="s">
        <v>238</v>
      </c>
      <c r="B392" s="52"/>
      <c r="C392" s="148" t="s">
        <v>248</v>
      </c>
      <c r="D392" s="149"/>
      <c r="E392" s="149"/>
      <c r="F392" s="150"/>
    </row>
    <row r="394" spans="1:4">
      <c r="A394" s="120" t="s">
        <v>137</v>
      </c>
      <c r="B394" s="120"/>
      <c r="C394" s="120"/>
      <c r="D394" s="120" t="s">
        <v>138</v>
      </c>
    </row>
    <row r="395" spans="1:4">
      <c r="A395" s="120" t="s">
        <v>139</v>
      </c>
      <c r="B395" s="120"/>
      <c r="C395" s="120"/>
      <c r="D395" s="121" t="s">
        <v>240</v>
      </c>
    </row>
    <row r="396" spans="1:4">
      <c r="A396" s="120"/>
      <c r="B396" s="120"/>
      <c r="C396" s="120"/>
      <c r="D396" s="120"/>
    </row>
    <row r="397" spans="1:4">
      <c r="A397" s="120"/>
      <c r="B397" s="120"/>
      <c r="C397" s="120"/>
      <c r="D397" s="120"/>
    </row>
    <row r="398" spans="1:4">
      <c r="A398" s="122" t="str">
        <f>'DATA SISWA'!M14</f>
        <v>MUTHOLIB</v>
      </c>
      <c r="B398" s="120"/>
      <c r="C398" s="120"/>
      <c r="D398" s="53" t="s">
        <v>241</v>
      </c>
    </row>
    <row r="399" spans="1:4">
      <c r="A399" s="120"/>
      <c r="B399" s="120"/>
      <c r="C399" s="120"/>
      <c r="D399" s="6" t="s">
        <v>242</v>
      </c>
    </row>
    <row r="403" spans="1:6">
      <c r="A403" s="2" t="s">
        <v>178</v>
      </c>
      <c r="B403" s="2"/>
      <c r="C403" s="2"/>
      <c r="D403" s="2"/>
      <c r="E403" s="2"/>
      <c r="F403" s="2"/>
    </row>
    <row r="404" spans="1:6">
      <c r="A404" s="2"/>
      <c r="B404" s="2"/>
      <c r="C404" s="2"/>
      <c r="D404" s="2"/>
      <c r="E404" s="2"/>
      <c r="F404" s="2"/>
    </row>
    <row r="405" spans="1:6">
      <c r="A405" s="2"/>
      <c r="B405" s="2"/>
      <c r="C405" s="2"/>
      <c r="D405" s="2"/>
      <c r="E405" s="2"/>
      <c r="F405" s="2"/>
    </row>
    <row r="406" spans="1:6">
      <c r="A406" s="3"/>
      <c r="B406" s="3"/>
      <c r="C406" s="3"/>
      <c r="D406" s="3"/>
      <c r="E406" s="3"/>
      <c r="F406" s="3"/>
    </row>
    <row r="408" spans="1:6">
      <c r="A408" s="73" t="s">
        <v>179</v>
      </c>
      <c r="B408" s="6" t="s">
        <v>111</v>
      </c>
      <c r="C408" s="6" t="str">
        <f>'DATA SISWA'!B15</f>
        <v>RAZAN MUMTAZAH ZUBAIR</v>
      </c>
      <c r="D408" s="73" t="s">
        <v>180</v>
      </c>
      <c r="E408" s="6" t="s">
        <v>111</v>
      </c>
      <c r="F408" s="6" t="s">
        <v>181</v>
      </c>
    </row>
    <row r="409" spans="1:6">
      <c r="A409" s="73" t="s">
        <v>113</v>
      </c>
      <c r="B409" s="6" t="s">
        <v>111</v>
      </c>
      <c r="C409" s="6" t="s">
        <v>3</v>
      </c>
      <c r="D409" s="73" t="s">
        <v>114</v>
      </c>
      <c r="E409" s="6" t="s">
        <v>111</v>
      </c>
      <c r="F409" s="6" t="s">
        <v>7</v>
      </c>
    </row>
    <row r="411" ht="19.5" spans="1:6">
      <c r="A411" s="74" t="s">
        <v>180</v>
      </c>
      <c r="B411" s="75"/>
      <c r="C411" s="76" t="s">
        <v>182</v>
      </c>
      <c r="D411" s="144" t="s">
        <v>117</v>
      </c>
      <c r="E411" s="145"/>
      <c r="F411" s="146"/>
    </row>
    <row r="412" ht="19.5" spans="1:6">
      <c r="A412" s="80"/>
      <c r="B412" s="81"/>
      <c r="C412" s="82"/>
      <c r="D412" s="74" t="s">
        <v>183</v>
      </c>
      <c r="E412" s="75"/>
      <c r="F412" s="76" t="s">
        <v>184</v>
      </c>
    </row>
    <row r="413" spans="1:6">
      <c r="A413" s="85" t="s">
        <v>107</v>
      </c>
      <c r="B413" s="86"/>
      <c r="C413" s="87" t="s">
        <v>185</v>
      </c>
      <c r="D413" s="87"/>
      <c r="E413" s="65"/>
      <c r="F413" s="13"/>
    </row>
    <row r="414" spans="1:6">
      <c r="A414" s="85"/>
      <c r="B414" s="86"/>
      <c r="C414" s="88" t="s">
        <v>186</v>
      </c>
      <c r="D414" s="88"/>
      <c r="E414" s="66"/>
      <c r="F414" s="11"/>
    </row>
    <row r="415" ht="16.5" spans="1:6">
      <c r="A415" s="89"/>
      <c r="B415" s="90"/>
      <c r="C415" s="91" t="s">
        <v>187</v>
      </c>
      <c r="D415" s="91"/>
      <c r="E415" s="64"/>
      <c r="F415" s="23"/>
    </row>
    <row r="416" spans="1:6">
      <c r="A416" s="92" t="s">
        <v>188</v>
      </c>
      <c r="B416" s="93"/>
      <c r="C416" s="87" t="s">
        <v>189</v>
      </c>
      <c r="D416" s="87"/>
      <c r="E416" s="65"/>
      <c r="F416" s="13"/>
    </row>
    <row r="417" spans="1:6">
      <c r="A417" s="85"/>
      <c r="B417" s="86"/>
      <c r="C417" s="94" t="s">
        <v>190</v>
      </c>
      <c r="D417" s="88"/>
      <c r="E417" s="66"/>
      <c r="F417" s="11"/>
    </row>
    <row r="418" ht="16.5" spans="1:6">
      <c r="A418" s="89"/>
      <c r="B418" s="90"/>
      <c r="C418" s="91" t="s">
        <v>191</v>
      </c>
      <c r="D418" s="91"/>
      <c r="E418" s="64"/>
      <c r="F418" s="23"/>
    </row>
    <row r="419" spans="1:6">
      <c r="A419" s="92" t="s">
        <v>192</v>
      </c>
      <c r="B419" s="93"/>
      <c r="C419" s="87" t="s">
        <v>193</v>
      </c>
      <c r="D419" s="87"/>
      <c r="E419" s="65"/>
      <c r="F419" s="13"/>
    </row>
    <row r="420" spans="1:6">
      <c r="A420" s="85"/>
      <c r="B420" s="86"/>
      <c r="C420" s="88" t="s">
        <v>194</v>
      </c>
      <c r="D420" s="88"/>
      <c r="E420" s="66"/>
      <c r="F420" s="11"/>
    </row>
    <row r="421" spans="1:6">
      <c r="A421" s="85"/>
      <c r="B421" s="86"/>
      <c r="C421" s="88" t="s">
        <v>195</v>
      </c>
      <c r="D421" s="88"/>
      <c r="E421" s="66"/>
      <c r="F421" s="11"/>
    </row>
    <row r="422" spans="1:6">
      <c r="A422" s="85"/>
      <c r="B422" s="86"/>
      <c r="C422" s="88" t="s">
        <v>196</v>
      </c>
      <c r="D422" s="88"/>
      <c r="E422" s="66"/>
      <c r="F422" s="11"/>
    </row>
    <row r="423" spans="1:6">
      <c r="A423" s="85"/>
      <c r="B423" s="86"/>
      <c r="C423" s="88" t="s">
        <v>197</v>
      </c>
      <c r="D423" s="88"/>
      <c r="E423" s="66"/>
      <c r="F423" s="11"/>
    </row>
    <row r="424" ht="16.5" spans="1:6">
      <c r="A424" s="89"/>
      <c r="B424" s="90"/>
      <c r="C424" s="95" t="s">
        <v>198</v>
      </c>
      <c r="D424" s="91"/>
      <c r="E424" s="64"/>
      <c r="F424" s="23"/>
    </row>
    <row r="425" spans="1:6">
      <c r="A425" s="92" t="s">
        <v>199</v>
      </c>
      <c r="B425" s="93"/>
      <c r="C425" s="87" t="s">
        <v>200</v>
      </c>
      <c r="D425" s="87"/>
      <c r="E425" s="65"/>
      <c r="F425" s="13"/>
    </row>
    <row r="426" spans="1:6">
      <c r="A426" s="85"/>
      <c r="B426" s="86"/>
      <c r="C426" s="88" t="s">
        <v>201</v>
      </c>
      <c r="D426" s="88"/>
      <c r="E426" s="66"/>
      <c r="F426" s="11"/>
    </row>
    <row r="427" spans="1:6">
      <c r="A427" s="85"/>
      <c r="B427" s="86"/>
      <c r="C427" s="88" t="s">
        <v>202</v>
      </c>
      <c r="D427" s="88"/>
      <c r="E427" s="66"/>
      <c r="F427" s="11"/>
    </row>
    <row r="428" spans="1:6">
      <c r="A428" s="85"/>
      <c r="B428" s="86"/>
      <c r="C428" s="88" t="s">
        <v>203</v>
      </c>
      <c r="D428" s="88"/>
      <c r="E428" s="66"/>
      <c r="F428" s="11"/>
    </row>
    <row r="429" spans="1:6">
      <c r="A429" s="85"/>
      <c r="B429" s="86"/>
      <c r="C429" s="88" t="s">
        <v>204</v>
      </c>
      <c r="D429" s="88"/>
      <c r="E429" s="66"/>
      <c r="F429" s="11"/>
    </row>
    <row r="430" ht="16.5" spans="1:6">
      <c r="A430" s="89"/>
      <c r="B430" s="90"/>
      <c r="C430" s="91" t="s">
        <v>205</v>
      </c>
      <c r="D430" s="91"/>
      <c r="E430" s="64"/>
      <c r="F430" s="23"/>
    </row>
    <row r="431" spans="1:6">
      <c r="A431" s="92" t="s">
        <v>206</v>
      </c>
      <c r="B431" s="93"/>
      <c r="C431" s="87" t="s">
        <v>207</v>
      </c>
      <c r="D431" s="87"/>
      <c r="E431" s="65"/>
      <c r="F431" s="13"/>
    </row>
    <row r="432" spans="1:6">
      <c r="A432" s="85"/>
      <c r="B432" s="86"/>
      <c r="C432" s="88" t="s">
        <v>208</v>
      </c>
      <c r="D432" s="88"/>
      <c r="E432" s="66"/>
      <c r="F432" s="11"/>
    </row>
    <row r="433" spans="1:6">
      <c r="A433" s="85"/>
      <c r="B433" s="86"/>
      <c r="C433" s="88" t="s">
        <v>209</v>
      </c>
      <c r="D433" s="88"/>
      <c r="E433" s="66"/>
      <c r="F433" s="11"/>
    </row>
    <row r="434" spans="1:6">
      <c r="A434" s="85"/>
      <c r="B434" s="86"/>
      <c r="C434" s="88" t="s">
        <v>210</v>
      </c>
      <c r="D434" s="88"/>
      <c r="E434" s="66"/>
      <c r="F434" s="11"/>
    </row>
    <row r="435" spans="1:6">
      <c r="A435" s="85"/>
      <c r="B435" s="86"/>
      <c r="C435" s="88" t="s">
        <v>211</v>
      </c>
      <c r="D435" s="88"/>
      <c r="E435" s="66"/>
      <c r="F435" s="11"/>
    </row>
    <row r="436" ht="16.5" spans="1:6">
      <c r="A436" s="89"/>
      <c r="B436" s="90"/>
      <c r="C436" s="91" t="s">
        <v>212</v>
      </c>
      <c r="D436" s="91"/>
      <c r="E436" s="64"/>
      <c r="F436" s="23"/>
    </row>
    <row r="437" spans="1:6">
      <c r="A437" s="92" t="s">
        <v>213</v>
      </c>
      <c r="B437" s="93"/>
      <c r="C437" s="87" t="s">
        <v>214</v>
      </c>
      <c r="D437" s="87"/>
      <c r="E437" s="65"/>
      <c r="F437" s="13"/>
    </row>
    <row r="438" spans="1:6">
      <c r="A438" s="85"/>
      <c r="B438" s="86"/>
      <c r="C438" s="88" t="s">
        <v>215</v>
      </c>
      <c r="D438" s="88"/>
      <c r="E438" s="66"/>
      <c r="F438" s="11"/>
    </row>
    <row r="439" spans="1:6">
      <c r="A439" s="85"/>
      <c r="B439" s="86"/>
      <c r="C439" s="88" t="s">
        <v>216</v>
      </c>
      <c r="D439" s="88"/>
      <c r="E439" s="66"/>
      <c r="F439" s="11"/>
    </row>
    <row r="440" spans="1:6">
      <c r="A440" s="85"/>
      <c r="B440" s="86"/>
      <c r="C440" s="88" t="s">
        <v>217</v>
      </c>
      <c r="D440" s="88"/>
      <c r="E440" s="66"/>
      <c r="F440" s="11"/>
    </row>
    <row r="441" spans="1:6">
      <c r="A441" s="85"/>
      <c r="B441" s="86"/>
      <c r="C441" s="94" t="s">
        <v>218</v>
      </c>
      <c r="D441" s="88"/>
      <c r="E441" s="66"/>
      <c r="F441" s="11"/>
    </row>
    <row r="442" ht="16.5" spans="1:6">
      <c r="A442" s="85"/>
      <c r="B442" s="86"/>
      <c r="C442" s="96" t="s">
        <v>219</v>
      </c>
      <c r="D442" s="96"/>
      <c r="E442" s="97"/>
      <c r="F442" s="33"/>
    </row>
    <row r="443" spans="1:6">
      <c r="A443" s="98" t="s">
        <v>220</v>
      </c>
      <c r="B443" s="99"/>
      <c r="C443" s="87" t="s">
        <v>221</v>
      </c>
      <c r="D443" s="100" t="s">
        <v>130</v>
      </c>
      <c r="E443" s="62"/>
      <c r="F443" s="65"/>
    </row>
    <row r="444" spans="1:6">
      <c r="A444" s="101"/>
      <c r="B444" s="102"/>
      <c r="C444" s="88" t="s">
        <v>222</v>
      </c>
      <c r="D444" s="103" t="s">
        <v>130</v>
      </c>
      <c r="E444" s="104"/>
      <c r="F444" s="66"/>
    </row>
    <row r="445" ht="16.5" spans="1:6">
      <c r="A445" s="105"/>
      <c r="B445" s="106"/>
      <c r="C445" s="91" t="s">
        <v>223</v>
      </c>
      <c r="D445" s="107" t="s">
        <v>108</v>
      </c>
      <c r="E445" s="63"/>
      <c r="F445" s="64"/>
    </row>
    <row r="446" spans="1:6">
      <c r="A446" s="108" t="s">
        <v>224</v>
      </c>
      <c r="B446" s="109"/>
      <c r="C446" s="110" t="s">
        <v>225</v>
      </c>
      <c r="D446" s="110"/>
      <c r="E446" s="67"/>
      <c r="F446" s="111"/>
    </row>
    <row r="447" ht="16.5" spans="1:6">
      <c r="A447" s="112"/>
      <c r="B447" s="113"/>
      <c r="C447" s="91" t="s">
        <v>226</v>
      </c>
      <c r="D447" s="91"/>
      <c r="E447" s="64"/>
      <c r="F447" s="23"/>
    </row>
    <row r="448" spans="1:6">
      <c r="A448" s="114" t="s">
        <v>227</v>
      </c>
      <c r="B448" s="115"/>
      <c r="C448" s="87" t="s">
        <v>228</v>
      </c>
      <c r="D448" s="87"/>
      <c r="E448" s="65"/>
      <c r="F448" s="13"/>
    </row>
    <row r="449" spans="1:6">
      <c r="A449" s="108"/>
      <c r="B449" s="109"/>
      <c r="C449" s="88" t="s">
        <v>229</v>
      </c>
      <c r="D449" s="88"/>
      <c r="E449" s="66"/>
      <c r="F449" s="11"/>
    </row>
    <row r="450" spans="1:6">
      <c r="A450" s="108"/>
      <c r="B450" s="109"/>
      <c r="C450" s="88" t="s">
        <v>230</v>
      </c>
      <c r="D450" s="88"/>
      <c r="E450" s="66"/>
      <c r="F450" s="11"/>
    </row>
    <row r="451" spans="1:6">
      <c r="A451" s="108"/>
      <c r="B451" s="109"/>
      <c r="C451" s="88" t="s">
        <v>231</v>
      </c>
      <c r="D451" s="88"/>
      <c r="E451" s="66"/>
      <c r="F451" s="11"/>
    </row>
    <row r="452" spans="1:6">
      <c r="A452" s="108"/>
      <c r="B452" s="109"/>
      <c r="C452" s="88" t="s">
        <v>232</v>
      </c>
      <c r="D452" s="88"/>
      <c r="E452" s="66"/>
      <c r="F452" s="11"/>
    </row>
    <row r="453" spans="1:6">
      <c r="A453" s="108"/>
      <c r="B453" s="109"/>
      <c r="C453" s="88" t="s">
        <v>233</v>
      </c>
      <c r="D453" s="88"/>
      <c r="E453" s="66"/>
      <c r="F453" s="11"/>
    </row>
    <row r="454" spans="1:6">
      <c r="A454" s="108"/>
      <c r="B454" s="109"/>
      <c r="C454" s="88" t="s">
        <v>234</v>
      </c>
      <c r="D454" s="88"/>
      <c r="E454" s="66"/>
      <c r="F454" s="11"/>
    </row>
    <row r="455" spans="1:6">
      <c r="A455" s="108"/>
      <c r="B455" s="109"/>
      <c r="C455" s="88" t="s">
        <v>235</v>
      </c>
      <c r="D455" s="88"/>
      <c r="E455" s="66"/>
      <c r="F455" s="11"/>
    </row>
    <row r="456" spans="1:6">
      <c r="A456" s="108"/>
      <c r="B456" s="109"/>
      <c r="C456" s="88" t="s">
        <v>236</v>
      </c>
      <c r="D456" s="88"/>
      <c r="E456" s="66"/>
      <c r="F456" s="11"/>
    </row>
    <row r="457" ht="16.5" spans="1:6">
      <c r="A457" s="112"/>
      <c r="B457" s="113"/>
      <c r="C457" s="91" t="s">
        <v>237</v>
      </c>
      <c r="D457" s="91"/>
      <c r="E457" s="64"/>
      <c r="F457" s="23"/>
    </row>
    <row r="458" ht="16.5" spans="1:1">
      <c r="A458" s="6"/>
    </row>
    <row r="459" ht="45" customHeight="1" spans="1:6">
      <c r="A459" s="116" t="s">
        <v>238</v>
      </c>
      <c r="B459" s="52"/>
      <c r="C459" s="141" t="s">
        <v>249</v>
      </c>
      <c r="D459" s="142"/>
      <c r="E459" s="142"/>
      <c r="F459" s="143"/>
    </row>
    <row r="461" spans="1:4">
      <c r="A461" s="120" t="s">
        <v>137</v>
      </c>
      <c r="B461" s="120"/>
      <c r="C461" s="120"/>
      <c r="D461" s="120" t="s">
        <v>138</v>
      </c>
    </row>
    <row r="462" spans="1:4">
      <c r="A462" s="120" t="s">
        <v>139</v>
      </c>
      <c r="B462" s="120"/>
      <c r="C462" s="120"/>
      <c r="D462" s="121" t="s">
        <v>240</v>
      </c>
    </row>
    <row r="463" spans="1:4">
      <c r="A463" s="120"/>
      <c r="B463" s="120"/>
      <c r="C463" s="120"/>
      <c r="D463" s="120"/>
    </row>
    <row r="464" spans="1:4">
      <c r="A464" s="120"/>
      <c r="B464" s="120"/>
      <c r="C464" s="120"/>
      <c r="D464" s="120"/>
    </row>
    <row r="465" spans="1:4">
      <c r="A465" s="122" t="str">
        <f>'DATA SISWA'!M15</f>
        <v>DESRENI</v>
      </c>
      <c r="B465" s="120"/>
      <c r="C465" s="120"/>
      <c r="D465" s="53" t="s">
        <v>241</v>
      </c>
    </row>
    <row r="466" spans="1:4">
      <c r="A466" s="120"/>
      <c r="B466" s="120"/>
      <c r="C466" s="120"/>
      <c r="D466" s="6" t="s">
        <v>242</v>
      </c>
    </row>
    <row r="470" spans="1:6">
      <c r="A470" s="2" t="s">
        <v>178</v>
      </c>
      <c r="B470" s="2"/>
      <c r="C470" s="2"/>
      <c r="D470" s="2"/>
      <c r="E470" s="2"/>
      <c r="F470" s="2"/>
    </row>
    <row r="471" spans="1:6">
      <c r="A471" s="2"/>
      <c r="B471" s="2"/>
      <c r="C471" s="2"/>
      <c r="D471" s="2"/>
      <c r="E471" s="2"/>
      <c r="F471" s="2"/>
    </row>
    <row r="472" spans="1:6">
      <c r="A472" s="2"/>
      <c r="B472" s="2"/>
      <c r="C472" s="2"/>
      <c r="D472" s="2"/>
      <c r="E472" s="2"/>
      <c r="F472" s="2"/>
    </row>
    <row r="473" spans="1:6">
      <c r="A473" s="3"/>
      <c r="B473" s="3"/>
      <c r="C473" s="3"/>
      <c r="D473" s="3"/>
      <c r="E473" s="3"/>
      <c r="F473" s="3"/>
    </row>
    <row r="475" spans="1:6">
      <c r="A475" s="73" t="s">
        <v>179</v>
      </c>
      <c r="B475" s="6" t="s">
        <v>111</v>
      </c>
      <c r="C475" s="6" t="str">
        <f>'DATA SISWA'!B16</f>
        <v>SHOFIYYAH MIZYANAH</v>
      </c>
      <c r="D475" s="73" t="s">
        <v>180</v>
      </c>
      <c r="E475" s="6" t="s">
        <v>111</v>
      </c>
      <c r="F475" s="6" t="s">
        <v>181</v>
      </c>
    </row>
    <row r="476" spans="1:6">
      <c r="A476" s="73" t="s">
        <v>113</v>
      </c>
      <c r="B476" s="6" t="s">
        <v>111</v>
      </c>
      <c r="C476" s="6" t="s">
        <v>3</v>
      </c>
      <c r="D476" s="73" t="s">
        <v>114</v>
      </c>
      <c r="E476" s="6" t="s">
        <v>111</v>
      </c>
      <c r="F476" s="6" t="s">
        <v>7</v>
      </c>
    </row>
    <row r="478" ht="19.5" spans="1:6">
      <c r="A478" s="74" t="s">
        <v>180</v>
      </c>
      <c r="B478" s="75"/>
      <c r="C478" s="76" t="s">
        <v>182</v>
      </c>
      <c r="D478" s="144" t="s">
        <v>117</v>
      </c>
      <c r="E478" s="145"/>
      <c r="F478" s="146"/>
    </row>
    <row r="479" ht="19.5" spans="1:6">
      <c r="A479" s="80"/>
      <c r="B479" s="81"/>
      <c r="C479" s="82"/>
      <c r="D479" s="74" t="s">
        <v>183</v>
      </c>
      <c r="E479" s="75"/>
      <c r="F479" s="76" t="s">
        <v>184</v>
      </c>
    </row>
    <row r="480" spans="1:6">
      <c r="A480" s="85" t="s">
        <v>107</v>
      </c>
      <c r="B480" s="86"/>
      <c r="C480" s="87" t="s">
        <v>185</v>
      </c>
      <c r="D480" s="87"/>
      <c r="E480" s="65"/>
      <c r="F480" s="13"/>
    </row>
    <row r="481" spans="1:6">
      <c r="A481" s="85"/>
      <c r="B481" s="86"/>
      <c r="C481" s="88" t="s">
        <v>186</v>
      </c>
      <c r="D481" s="88"/>
      <c r="E481" s="66"/>
      <c r="F481" s="11"/>
    </row>
    <row r="482" ht="16.5" spans="1:6">
      <c r="A482" s="89"/>
      <c r="B482" s="90"/>
      <c r="C482" s="91" t="s">
        <v>187</v>
      </c>
      <c r="D482" s="91"/>
      <c r="E482" s="64"/>
      <c r="F482" s="23"/>
    </row>
    <row r="483" spans="1:6">
      <c r="A483" s="92" t="s">
        <v>188</v>
      </c>
      <c r="B483" s="93"/>
      <c r="C483" s="87" t="s">
        <v>189</v>
      </c>
      <c r="D483" s="87"/>
      <c r="E483" s="65"/>
      <c r="F483" s="13"/>
    </row>
    <row r="484" spans="1:6">
      <c r="A484" s="85"/>
      <c r="B484" s="86"/>
      <c r="C484" s="94" t="s">
        <v>190</v>
      </c>
      <c r="D484" s="88"/>
      <c r="E484" s="66"/>
      <c r="F484" s="11"/>
    </row>
    <row r="485" ht="16.5" spans="1:6">
      <c r="A485" s="89"/>
      <c r="B485" s="90"/>
      <c r="C485" s="91" t="s">
        <v>191</v>
      </c>
      <c r="D485" s="91"/>
      <c r="E485" s="64"/>
      <c r="F485" s="23"/>
    </row>
    <row r="486" spans="1:6">
      <c r="A486" s="92" t="s">
        <v>192</v>
      </c>
      <c r="B486" s="93"/>
      <c r="C486" s="87" t="s">
        <v>193</v>
      </c>
      <c r="D486" s="87"/>
      <c r="E486" s="65"/>
      <c r="F486" s="13"/>
    </row>
    <row r="487" spans="1:6">
      <c r="A487" s="85"/>
      <c r="B487" s="86"/>
      <c r="C487" s="88" t="s">
        <v>194</v>
      </c>
      <c r="D487" s="88"/>
      <c r="E487" s="66"/>
      <c r="F487" s="11"/>
    </row>
    <row r="488" spans="1:6">
      <c r="A488" s="85"/>
      <c r="B488" s="86"/>
      <c r="C488" s="88" t="s">
        <v>195</v>
      </c>
      <c r="D488" s="88"/>
      <c r="E488" s="66"/>
      <c r="F488" s="11"/>
    </row>
    <row r="489" spans="1:6">
      <c r="A489" s="85"/>
      <c r="B489" s="86"/>
      <c r="C489" s="88" t="s">
        <v>196</v>
      </c>
      <c r="D489" s="88"/>
      <c r="E489" s="66"/>
      <c r="F489" s="11"/>
    </row>
    <row r="490" spans="1:6">
      <c r="A490" s="85"/>
      <c r="B490" s="86"/>
      <c r="C490" s="88" t="s">
        <v>197</v>
      </c>
      <c r="D490" s="88"/>
      <c r="E490" s="66"/>
      <c r="F490" s="11"/>
    </row>
    <row r="491" ht="16.5" spans="1:6">
      <c r="A491" s="89"/>
      <c r="B491" s="90"/>
      <c r="C491" s="95" t="s">
        <v>198</v>
      </c>
      <c r="D491" s="91"/>
      <c r="E491" s="64"/>
      <c r="F491" s="23"/>
    </row>
    <row r="492" spans="1:6">
      <c r="A492" s="92" t="s">
        <v>199</v>
      </c>
      <c r="B492" s="93"/>
      <c r="C492" s="87" t="s">
        <v>200</v>
      </c>
      <c r="D492" s="87"/>
      <c r="E492" s="65"/>
      <c r="F492" s="13"/>
    </row>
    <row r="493" spans="1:6">
      <c r="A493" s="85"/>
      <c r="B493" s="86"/>
      <c r="C493" s="88" t="s">
        <v>201</v>
      </c>
      <c r="D493" s="88"/>
      <c r="E493" s="66"/>
      <c r="F493" s="11"/>
    </row>
    <row r="494" spans="1:6">
      <c r="A494" s="85"/>
      <c r="B494" s="86"/>
      <c r="C494" s="88" t="s">
        <v>202</v>
      </c>
      <c r="D494" s="88"/>
      <c r="E494" s="66"/>
      <c r="F494" s="11"/>
    </row>
    <row r="495" spans="1:6">
      <c r="A495" s="85"/>
      <c r="B495" s="86"/>
      <c r="C495" s="88" t="s">
        <v>203</v>
      </c>
      <c r="D495" s="88"/>
      <c r="E495" s="66"/>
      <c r="F495" s="11"/>
    </row>
    <row r="496" spans="1:6">
      <c r="A496" s="85"/>
      <c r="B496" s="86"/>
      <c r="C496" s="88" t="s">
        <v>204</v>
      </c>
      <c r="D496" s="88"/>
      <c r="E496" s="66"/>
      <c r="F496" s="11"/>
    </row>
    <row r="497" ht="16.5" spans="1:6">
      <c r="A497" s="89"/>
      <c r="B497" s="90"/>
      <c r="C497" s="91" t="s">
        <v>205</v>
      </c>
      <c r="D497" s="91"/>
      <c r="E497" s="64"/>
      <c r="F497" s="23"/>
    </row>
    <row r="498" spans="1:6">
      <c r="A498" s="92" t="s">
        <v>206</v>
      </c>
      <c r="B498" s="93"/>
      <c r="C498" s="87" t="s">
        <v>207</v>
      </c>
      <c r="D498" s="87"/>
      <c r="E498" s="65"/>
      <c r="F498" s="13"/>
    </row>
    <row r="499" spans="1:6">
      <c r="A499" s="85"/>
      <c r="B499" s="86"/>
      <c r="C499" s="88" t="s">
        <v>208</v>
      </c>
      <c r="D499" s="88"/>
      <c r="E499" s="66"/>
      <c r="F499" s="11"/>
    </row>
    <row r="500" spans="1:6">
      <c r="A500" s="85"/>
      <c r="B500" s="86"/>
      <c r="C500" s="88" t="s">
        <v>209</v>
      </c>
      <c r="D500" s="88"/>
      <c r="E500" s="66"/>
      <c r="F500" s="11"/>
    </row>
    <row r="501" spans="1:6">
      <c r="A501" s="85"/>
      <c r="B501" s="86"/>
      <c r="C501" s="88" t="s">
        <v>210</v>
      </c>
      <c r="D501" s="88"/>
      <c r="E501" s="66"/>
      <c r="F501" s="11"/>
    </row>
    <row r="502" spans="1:6">
      <c r="A502" s="85"/>
      <c r="B502" s="86"/>
      <c r="C502" s="88" t="s">
        <v>211</v>
      </c>
      <c r="D502" s="88"/>
      <c r="E502" s="66"/>
      <c r="F502" s="11"/>
    </row>
    <row r="503" ht="16.5" spans="1:6">
      <c r="A503" s="89"/>
      <c r="B503" s="90"/>
      <c r="C503" s="91" t="s">
        <v>212</v>
      </c>
      <c r="D503" s="91"/>
      <c r="E503" s="64"/>
      <c r="F503" s="23"/>
    </row>
    <row r="504" spans="1:6">
      <c r="A504" s="92" t="s">
        <v>213</v>
      </c>
      <c r="B504" s="93"/>
      <c r="C504" s="87" t="s">
        <v>214</v>
      </c>
      <c r="D504" s="87"/>
      <c r="E504" s="65"/>
      <c r="F504" s="13"/>
    </row>
    <row r="505" spans="1:6">
      <c r="A505" s="85"/>
      <c r="B505" s="86"/>
      <c r="C505" s="88" t="s">
        <v>215</v>
      </c>
      <c r="D505" s="88"/>
      <c r="E505" s="66"/>
      <c r="F505" s="11"/>
    </row>
    <row r="506" spans="1:6">
      <c r="A506" s="85"/>
      <c r="B506" s="86"/>
      <c r="C506" s="88" t="s">
        <v>216</v>
      </c>
      <c r="D506" s="88"/>
      <c r="E506" s="66"/>
      <c r="F506" s="11"/>
    </row>
    <row r="507" spans="1:6">
      <c r="A507" s="85"/>
      <c r="B507" s="86"/>
      <c r="C507" s="88" t="s">
        <v>217</v>
      </c>
      <c r="D507" s="88"/>
      <c r="E507" s="66"/>
      <c r="F507" s="11"/>
    </row>
    <row r="508" spans="1:6">
      <c r="A508" s="85"/>
      <c r="B508" s="86"/>
      <c r="C508" s="94" t="s">
        <v>218</v>
      </c>
      <c r="D508" s="88"/>
      <c r="E508" s="66"/>
      <c r="F508" s="11"/>
    </row>
    <row r="509" ht="16.5" spans="1:6">
      <c r="A509" s="85"/>
      <c r="B509" s="86"/>
      <c r="C509" s="96" t="s">
        <v>219</v>
      </c>
      <c r="D509" s="96"/>
      <c r="E509" s="97"/>
      <c r="F509" s="33"/>
    </row>
    <row r="510" spans="1:6">
      <c r="A510" s="98" t="s">
        <v>220</v>
      </c>
      <c r="B510" s="99"/>
      <c r="C510" s="87" t="s">
        <v>221</v>
      </c>
      <c r="D510" s="100" t="s">
        <v>108</v>
      </c>
      <c r="E510" s="62"/>
      <c r="F510" s="65"/>
    </row>
    <row r="511" spans="1:6">
      <c r="A511" s="101"/>
      <c r="B511" s="102"/>
      <c r="C511" s="88" t="s">
        <v>222</v>
      </c>
      <c r="D511" s="103" t="s">
        <v>108</v>
      </c>
      <c r="E511" s="104"/>
      <c r="F511" s="66"/>
    </row>
    <row r="512" ht="16.5" spans="1:6">
      <c r="A512" s="105"/>
      <c r="B512" s="106"/>
      <c r="C512" s="91" t="s">
        <v>223</v>
      </c>
      <c r="D512" s="107" t="s">
        <v>108</v>
      </c>
      <c r="E512" s="63"/>
      <c r="F512" s="64"/>
    </row>
    <row r="513" spans="1:6">
      <c r="A513" s="108" t="s">
        <v>224</v>
      </c>
      <c r="B513" s="109"/>
      <c r="C513" s="110" t="s">
        <v>225</v>
      </c>
      <c r="D513" s="110"/>
      <c r="E513" s="67"/>
      <c r="F513" s="111"/>
    </row>
    <row r="514" ht="16.5" spans="1:6">
      <c r="A514" s="112"/>
      <c r="B514" s="113"/>
      <c r="C514" s="91" t="s">
        <v>226</v>
      </c>
      <c r="D514" s="91"/>
      <c r="E514" s="64"/>
      <c r="F514" s="23"/>
    </row>
    <row r="515" spans="1:6">
      <c r="A515" s="114" t="s">
        <v>227</v>
      </c>
      <c r="B515" s="115"/>
      <c r="C515" s="87" t="s">
        <v>228</v>
      </c>
      <c r="D515" s="87"/>
      <c r="E515" s="65"/>
      <c r="F515" s="13"/>
    </row>
    <row r="516" spans="1:6">
      <c r="A516" s="108"/>
      <c r="B516" s="109"/>
      <c r="C516" s="88" t="s">
        <v>229</v>
      </c>
      <c r="D516" s="88"/>
      <c r="E516" s="66"/>
      <c r="F516" s="11"/>
    </row>
    <row r="517" spans="1:6">
      <c r="A517" s="108"/>
      <c r="B517" s="109"/>
      <c r="C517" s="88" t="s">
        <v>230</v>
      </c>
      <c r="D517" s="88"/>
      <c r="E517" s="66"/>
      <c r="F517" s="11"/>
    </row>
    <row r="518" spans="1:6">
      <c r="A518" s="108"/>
      <c r="B518" s="109"/>
      <c r="C518" s="88" t="s">
        <v>231</v>
      </c>
      <c r="D518" s="88"/>
      <c r="E518" s="66"/>
      <c r="F518" s="11"/>
    </row>
    <row r="519" spans="1:6">
      <c r="A519" s="108"/>
      <c r="B519" s="109"/>
      <c r="C519" s="88" t="s">
        <v>232</v>
      </c>
      <c r="D519" s="88"/>
      <c r="E519" s="66"/>
      <c r="F519" s="11"/>
    </row>
    <row r="520" spans="1:6">
      <c r="A520" s="108"/>
      <c r="B520" s="109"/>
      <c r="C520" s="88" t="s">
        <v>233</v>
      </c>
      <c r="D520" s="88"/>
      <c r="E520" s="66"/>
      <c r="F520" s="11"/>
    </row>
    <row r="521" spans="1:6">
      <c r="A521" s="108"/>
      <c r="B521" s="109"/>
      <c r="C521" s="88" t="s">
        <v>234</v>
      </c>
      <c r="D521" s="88"/>
      <c r="E521" s="66"/>
      <c r="F521" s="11"/>
    </row>
    <row r="522" spans="1:6">
      <c r="A522" s="108"/>
      <c r="B522" s="109"/>
      <c r="C522" s="88" t="s">
        <v>235</v>
      </c>
      <c r="D522" s="88"/>
      <c r="E522" s="66"/>
      <c r="F522" s="11"/>
    </row>
    <row r="523" spans="1:6">
      <c r="A523" s="108"/>
      <c r="B523" s="109"/>
      <c r="C523" s="88" t="s">
        <v>236</v>
      </c>
      <c r="D523" s="88"/>
      <c r="E523" s="66"/>
      <c r="F523" s="11"/>
    </row>
    <row r="524" ht="16.5" spans="1:6">
      <c r="A524" s="112"/>
      <c r="B524" s="113"/>
      <c r="C524" s="91" t="s">
        <v>237</v>
      </c>
      <c r="D524" s="91"/>
      <c r="E524" s="64"/>
      <c r="F524" s="23"/>
    </row>
    <row r="525" ht="16.5" spans="1:1">
      <c r="A525" s="6"/>
    </row>
    <row r="526" ht="30" customHeight="1" spans="1:6">
      <c r="A526" s="116" t="s">
        <v>238</v>
      </c>
      <c r="B526" s="52"/>
      <c r="C526" s="135" t="s">
        <v>250</v>
      </c>
      <c r="D526" s="136"/>
      <c r="E526" s="136"/>
      <c r="F526" s="137"/>
    </row>
    <row r="528" spans="1:4">
      <c r="A528" s="120" t="s">
        <v>137</v>
      </c>
      <c r="B528" s="120"/>
      <c r="C528" s="120"/>
      <c r="D528" s="120" t="s">
        <v>138</v>
      </c>
    </row>
    <row r="529" spans="1:4">
      <c r="A529" s="120" t="s">
        <v>139</v>
      </c>
      <c r="B529" s="120"/>
      <c r="C529" s="120"/>
      <c r="D529" s="121" t="s">
        <v>240</v>
      </c>
    </row>
    <row r="530" spans="1:4">
      <c r="A530" s="120"/>
      <c r="B530" s="120"/>
      <c r="C530" s="120"/>
      <c r="D530" s="120"/>
    </row>
    <row r="531" spans="1:4">
      <c r="A531" s="120"/>
      <c r="B531" s="120"/>
      <c r="C531" s="120"/>
      <c r="D531" s="120"/>
    </row>
    <row r="532" spans="1:4">
      <c r="A532" s="122" t="str">
        <f>'DATA SISWA'!M16</f>
        <v>MUHAMMAD JA'FAR SHIDIQ</v>
      </c>
      <c r="B532" s="120"/>
      <c r="C532" s="120"/>
      <c r="D532" s="53" t="s">
        <v>241</v>
      </c>
    </row>
    <row r="533" spans="1:4">
      <c r="A533" s="120"/>
      <c r="B533" s="120"/>
      <c r="C533" s="120"/>
      <c r="D533" s="6" t="s">
        <v>242</v>
      </c>
    </row>
    <row r="537" spans="1:6">
      <c r="A537" s="2" t="s">
        <v>178</v>
      </c>
      <c r="B537" s="2"/>
      <c r="C537" s="2"/>
      <c r="D537" s="2"/>
      <c r="E537" s="2"/>
      <c r="F537" s="2"/>
    </row>
    <row r="538" spans="1:6">
      <c r="A538" s="2"/>
      <c r="B538" s="2"/>
      <c r="C538" s="2"/>
      <c r="D538" s="2"/>
      <c r="E538" s="2"/>
      <c r="F538" s="2"/>
    </row>
    <row r="539" spans="1:6">
      <c r="A539" s="2"/>
      <c r="B539" s="2"/>
      <c r="C539" s="2"/>
      <c r="D539" s="2"/>
      <c r="E539" s="2"/>
      <c r="F539" s="2"/>
    </row>
    <row r="540" spans="1:6">
      <c r="A540" s="3"/>
      <c r="B540" s="3"/>
      <c r="C540" s="3"/>
      <c r="D540" s="3"/>
      <c r="E540" s="3"/>
      <c r="F540" s="3"/>
    </row>
    <row r="542" spans="1:4">
      <c r="A542" s="151" t="s">
        <v>179</v>
      </c>
      <c r="B542" s="6"/>
      <c r="C542" s="6">
        <f>'DATA SISWA'!B17</f>
        <v>0</v>
      </c>
      <c r="D542" s="151" t="s">
        <v>180</v>
      </c>
    </row>
    <row r="543" spans="1:6">
      <c r="A543" s="151" t="s">
        <v>113</v>
      </c>
      <c r="B543" s="6"/>
      <c r="C543" s="6" t="s">
        <v>157</v>
      </c>
      <c r="D543" s="151" t="s">
        <v>114</v>
      </c>
      <c r="E543" s="6"/>
      <c r="F543" s="6" t="s">
        <v>7</v>
      </c>
    </row>
    <row r="545" ht="19.5" spans="1:6">
      <c r="A545" s="152" t="s">
        <v>180</v>
      </c>
      <c r="B545" s="152"/>
      <c r="C545" s="76" t="s">
        <v>182</v>
      </c>
      <c r="D545" s="77" t="s">
        <v>117</v>
      </c>
      <c r="E545" s="78"/>
      <c r="F545" s="79"/>
    </row>
    <row r="546" ht="19.5" spans="1:6">
      <c r="A546" s="153"/>
      <c r="B546" s="154"/>
      <c r="C546" s="82"/>
      <c r="D546" s="139" t="s">
        <v>183</v>
      </c>
      <c r="E546" s="140"/>
      <c r="F546" s="84" t="s">
        <v>184</v>
      </c>
    </row>
    <row r="547" spans="1:6">
      <c r="A547" s="155" t="s">
        <v>107</v>
      </c>
      <c r="B547" s="156"/>
      <c r="C547" s="87" t="s">
        <v>185</v>
      </c>
      <c r="D547" s="87"/>
      <c r="E547" s="65"/>
      <c r="F547" s="13"/>
    </row>
    <row r="548" spans="1:6">
      <c r="A548" s="157"/>
      <c r="B548" s="158"/>
      <c r="C548" s="88" t="s">
        <v>186</v>
      </c>
      <c r="D548" s="88"/>
      <c r="E548" s="66"/>
      <c r="F548" s="11"/>
    </row>
    <row r="549" ht="16.5" spans="1:6">
      <c r="A549" s="159"/>
      <c r="B549" s="160"/>
      <c r="C549" s="91" t="s">
        <v>187</v>
      </c>
      <c r="D549" s="91"/>
      <c r="E549" s="64"/>
      <c r="F549" s="23"/>
    </row>
    <row r="550" spans="1:6">
      <c r="A550" s="155" t="s">
        <v>188</v>
      </c>
      <c r="B550" s="156"/>
      <c r="C550" s="87" t="s">
        <v>189</v>
      </c>
      <c r="D550" s="87"/>
      <c r="E550" s="65"/>
      <c r="F550" s="13"/>
    </row>
    <row r="551" spans="1:6">
      <c r="A551" s="157"/>
      <c r="B551" s="161"/>
      <c r="C551" s="94" t="s">
        <v>190</v>
      </c>
      <c r="D551" s="88"/>
      <c r="E551" s="66"/>
      <c r="F551" s="11"/>
    </row>
    <row r="552" ht="16.5" spans="1:6">
      <c r="A552" s="159"/>
      <c r="B552" s="160"/>
      <c r="C552" s="91" t="s">
        <v>191</v>
      </c>
      <c r="D552" s="91"/>
      <c r="E552" s="64"/>
      <c r="F552" s="23"/>
    </row>
    <row r="553" spans="1:6">
      <c r="A553" s="155" t="s">
        <v>192</v>
      </c>
      <c r="B553" s="156"/>
      <c r="C553" s="87" t="s">
        <v>193</v>
      </c>
      <c r="D553" s="87"/>
      <c r="E553" s="65"/>
      <c r="F553" s="13"/>
    </row>
    <row r="554" spans="1:6">
      <c r="A554" s="157"/>
      <c r="B554" s="158"/>
      <c r="C554" s="88" t="s">
        <v>194</v>
      </c>
      <c r="D554" s="88"/>
      <c r="E554" s="66"/>
      <c r="F554" s="11"/>
    </row>
    <row r="555" spans="1:6">
      <c r="A555" s="157"/>
      <c r="B555" s="158"/>
      <c r="C555" s="88" t="s">
        <v>195</v>
      </c>
      <c r="D555" s="88"/>
      <c r="E555" s="66"/>
      <c r="F555" s="11"/>
    </row>
    <row r="556" spans="1:6">
      <c r="A556" s="157"/>
      <c r="B556" s="158"/>
      <c r="C556" s="88" t="s">
        <v>196</v>
      </c>
      <c r="D556" s="88"/>
      <c r="E556" s="66"/>
      <c r="F556" s="11"/>
    </row>
    <row r="557" spans="1:6">
      <c r="A557" s="157"/>
      <c r="B557" s="158"/>
      <c r="C557" s="88" t="s">
        <v>197</v>
      </c>
      <c r="D557" s="88"/>
      <c r="E557" s="66"/>
      <c r="F557" s="11"/>
    </row>
    <row r="558" ht="16.5" spans="1:6">
      <c r="A558" s="159"/>
      <c r="B558" s="162"/>
      <c r="C558" s="95" t="s">
        <v>198</v>
      </c>
      <c r="D558" s="91"/>
      <c r="E558" s="64"/>
      <c r="F558" s="23"/>
    </row>
    <row r="559" spans="1:6">
      <c r="A559" s="155" t="s">
        <v>199</v>
      </c>
      <c r="B559" s="156"/>
      <c r="C559" s="87" t="s">
        <v>200</v>
      </c>
      <c r="D559" s="87"/>
      <c r="E559" s="65"/>
      <c r="F559" s="13"/>
    </row>
    <row r="560" spans="1:6">
      <c r="A560" s="157"/>
      <c r="B560" s="158"/>
      <c r="C560" s="88" t="s">
        <v>201</v>
      </c>
      <c r="D560" s="88"/>
      <c r="E560" s="66"/>
      <c r="F560" s="11"/>
    </row>
    <row r="561" spans="1:6">
      <c r="A561" s="157"/>
      <c r="B561" s="158"/>
      <c r="C561" s="88" t="s">
        <v>202</v>
      </c>
      <c r="D561" s="88"/>
      <c r="E561" s="66"/>
      <c r="F561" s="11"/>
    </row>
    <row r="562" spans="1:6">
      <c r="A562" s="157"/>
      <c r="B562" s="158"/>
      <c r="C562" s="88" t="s">
        <v>203</v>
      </c>
      <c r="D562" s="88"/>
      <c r="E562" s="66"/>
      <c r="F562" s="11"/>
    </row>
    <row r="563" spans="1:6">
      <c r="A563" s="157"/>
      <c r="B563" s="158"/>
      <c r="C563" s="88" t="s">
        <v>204</v>
      </c>
      <c r="D563" s="88"/>
      <c r="E563" s="66"/>
      <c r="F563" s="11"/>
    </row>
    <row r="564" ht="16.5" spans="1:6">
      <c r="A564" s="159"/>
      <c r="B564" s="160"/>
      <c r="C564" s="91" t="s">
        <v>205</v>
      </c>
      <c r="D564" s="91"/>
      <c r="E564" s="64"/>
      <c r="F564" s="23"/>
    </row>
    <row r="565" spans="1:6">
      <c r="A565" s="155" t="s">
        <v>206</v>
      </c>
      <c r="B565" s="156"/>
      <c r="C565" s="87" t="s">
        <v>207</v>
      </c>
      <c r="D565" s="87"/>
      <c r="E565" s="65"/>
      <c r="F565" s="13"/>
    </row>
    <row r="566" spans="1:6">
      <c r="A566" s="157"/>
      <c r="B566" s="158"/>
      <c r="C566" s="88" t="s">
        <v>208</v>
      </c>
      <c r="D566" s="88"/>
      <c r="E566" s="66"/>
      <c r="F566" s="11"/>
    </row>
    <row r="567" spans="1:6">
      <c r="A567" s="157"/>
      <c r="B567" s="158"/>
      <c r="C567" s="88" t="s">
        <v>209</v>
      </c>
      <c r="D567" s="88"/>
      <c r="E567" s="66"/>
      <c r="F567" s="11"/>
    </row>
    <row r="568" spans="1:6">
      <c r="A568" s="157"/>
      <c r="B568" s="158"/>
      <c r="C568" s="88" t="s">
        <v>210</v>
      </c>
      <c r="D568" s="88"/>
      <c r="E568" s="66"/>
      <c r="F568" s="11"/>
    </row>
    <row r="569" spans="1:6">
      <c r="A569" s="157"/>
      <c r="B569" s="158"/>
      <c r="C569" s="88" t="s">
        <v>211</v>
      </c>
      <c r="D569" s="88"/>
      <c r="E569" s="66"/>
      <c r="F569" s="11"/>
    </row>
    <row r="570" ht="16.5" spans="1:6">
      <c r="A570" s="159"/>
      <c r="B570" s="160"/>
      <c r="C570" s="91" t="s">
        <v>212</v>
      </c>
      <c r="D570" s="91"/>
      <c r="E570" s="64"/>
      <c r="F570" s="23"/>
    </row>
    <row r="571" spans="1:6">
      <c r="A571" s="155" t="s">
        <v>213</v>
      </c>
      <c r="B571" s="156"/>
      <c r="C571" s="87" t="s">
        <v>214</v>
      </c>
      <c r="D571" s="87"/>
      <c r="E571" s="65"/>
      <c r="F571" s="13"/>
    </row>
    <row r="572" spans="1:6">
      <c r="A572" s="157"/>
      <c r="B572" s="158"/>
      <c r="C572" s="88" t="s">
        <v>215</v>
      </c>
      <c r="D572" s="88"/>
      <c r="E572" s="66"/>
      <c r="F572" s="11"/>
    </row>
    <row r="573" spans="1:6">
      <c r="A573" s="157"/>
      <c r="B573" s="158"/>
      <c r="C573" s="88" t="s">
        <v>216</v>
      </c>
      <c r="D573" s="88"/>
      <c r="E573" s="66"/>
      <c r="F573" s="11"/>
    </row>
    <row r="574" spans="1:6">
      <c r="A574" s="157"/>
      <c r="B574" s="158"/>
      <c r="C574" s="88" t="s">
        <v>217</v>
      </c>
      <c r="D574" s="88"/>
      <c r="E574" s="66"/>
      <c r="F574" s="11"/>
    </row>
    <row r="575" spans="1:6">
      <c r="A575" s="157"/>
      <c r="B575" s="161"/>
      <c r="C575" s="94" t="s">
        <v>218</v>
      </c>
      <c r="D575" s="88"/>
      <c r="E575" s="66"/>
      <c r="F575" s="11"/>
    </row>
    <row r="576" ht="16.5" spans="1:6">
      <c r="A576" s="159"/>
      <c r="B576" s="158"/>
      <c r="C576" s="96" t="s">
        <v>219</v>
      </c>
      <c r="D576" s="96"/>
      <c r="E576" s="97"/>
      <c r="F576" s="33"/>
    </row>
    <row r="577" spans="1:6">
      <c r="A577" s="163" t="s">
        <v>220</v>
      </c>
      <c r="B577" s="156"/>
      <c r="C577" s="87" t="s">
        <v>221</v>
      </c>
      <c r="D577" s="87"/>
      <c r="E577" s="65"/>
      <c r="F577" s="65"/>
    </row>
    <row r="578" spans="1:6">
      <c r="A578" s="164"/>
      <c r="B578" s="158"/>
      <c r="C578" s="88" t="s">
        <v>251</v>
      </c>
      <c r="D578" s="88"/>
      <c r="E578" s="66"/>
      <c r="F578" s="66"/>
    </row>
    <row r="579" ht="16.5" spans="1:6">
      <c r="A579" s="165"/>
      <c r="B579" s="160"/>
      <c r="C579" s="91" t="s">
        <v>252</v>
      </c>
      <c r="D579" s="91"/>
      <c r="E579" s="64"/>
      <c r="F579" s="64"/>
    </row>
    <row r="580" spans="1:6">
      <c r="A580" s="166" t="s">
        <v>224</v>
      </c>
      <c r="B580" s="158"/>
      <c r="C580" s="110" t="s">
        <v>225</v>
      </c>
      <c r="D580" s="110"/>
      <c r="E580" s="67"/>
      <c r="F580" s="111"/>
    </row>
    <row r="581" ht="16.5" spans="1:6">
      <c r="A581" s="167"/>
      <c r="B581" s="160"/>
      <c r="C581" s="91" t="s">
        <v>226</v>
      </c>
      <c r="D581" s="91"/>
      <c r="E581" s="64"/>
      <c r="F581" s="23"/>
    </row>
    <row r="582" spans="1:6">
      <c r="A582" s="166" t="s">
        <v>227</v>
      </c>
      <c r="B582" s="156"/>
      <c r="C582" s="87" t="s">
        <v>228</v>
      </c>
      <c r="D582" s="87"/>
      <c r="E582" s="65"/>
      <c r="F582" s="13"/>
    </row>
    <row r="583" spans="1:6">
      <c r="A583" s="168"/>
      <c r="B583" s="158"/>
      <c r="C583" s="88" t="s">
        <v>229</v>
      </c>
      <c r="D583" s="88"/>
      <c r="E583" s="66"/>
      <c r="F583" s="11"/>
    </row>
    <row r="584" spans="1:6">
      <c r="A584" s="168"/>
      <c r="B584" s="158"/>
      <c r="C584" s="88" t="s">
        <v>230</v>
      </c>
      <c r="D584" s="88"/>
      <c r="E584" s="66"/>
      <c r="F584" s="11"/>
    </row>
    <row r="585" spans="1:6">
      <c r="A585" s="168"/>
      <c r="B585" s="158"/>
      <c r="C585" s="88" t="s">
        <v>231</v>
      </c>
      <c r="D585" s="88"/>
      <c r="E585" s="66"/>
      <c r="F585" s="11"/>
    </row>
    <row r="586" spans="1:6">
      <c r="A586" s="168"/>
      <c r="B586" s="158"/>
      <c r="C586" s="88" t="s">
        <v>232</v>
      </c>
      <c r="D586" s="88"/>
      <c r="E586" s="66"/>
      <c r="F586" s="11"/>
    </row>
    <row r="587" spans="1:6">
      <c r="A587" s="168"/>
      <c r="B587" s="158"/>
      <c r="C587" s="88" t="s">
        <v>233</v>
      </c>
      <c r="D587" s="88"/>
      <c r="E587" s="66"/>
      <c r="F587" s="11"/>
    </row>
    <row r="588" spans="1:6">
      <c r="A588" s="168"/>
      <c r="B588" s="158"/>
      <c r="C588" s="88" t="s">
        <v>234</v>
      </c>
      <c r="D588" s="88"/>
      <c r="E588" s="66"/>
      <c r="F588" s="11"/>
    </row>
    <row r="589" spans="1:6">
      <c r="A589" s="168"/>
      <c r="B589" s="158"/>
      <c r="C589" s="88" t="s">
        <v>235</v>
      </c>
      <c r="D589" s="88"/>
      <c r="E589" s="66"/>
      <c r="F589" s="11"/>
    </row>
    <row r="590" spans="1:6">
      <c r="A590" s="168"/>
      <c r="B590" s="158"/>
      <c r="C590" s="88" t="s">
        <v>236</v>
      </c>
      <c r="D590" s="88"/>
      <c r="E590" s="66"/>
      <c r="F590" s="11"/>
    </row>
    <row r="591" ht="16.5" spans="1:6">
      <c r="A591" s="167"/>
      <c r="B591" s="160"/>
      <c r="C591" s="91" t="s">
        <v>237</v>
      </c>
      <c r="D591" s="91"/>
      <c r="E591" s="64"/>
      <c r="F591" s="23"/>
    </row>
    <row r="592" ht="16.5" spans="1:1">
      <c r="A592" s="6"/>
    </row>
    <row r="593" ht="30" customHeight="1" spans="1:6">
      <c r="A593" s="116" t="s">
        <v>238</v>
      </c>
      <c r="B593" s="52"/>
      <c r="C593" s="169"/>
      <c r="D593" s="170"/>
      <c r="E593" s="170"/>
      <c r="F593" s="171"/>
    </row>
    <row r="595" spans="1:4">
      <c r="A595" s="120" t="s">
        <v>137</v>
      </c>
      <c r="B595" s="120"/>
      <c r="C595" s="120"/>
      <c r="D595" s="120" t="s">
        <v>138</v>
      </c>
    </row>
    <row r="596" spans="1:4">
      <c r="A596" s="120" t="s">
        <v>139</v>
      </c>
      <c r="B596" s="120"/>
      <c r="C596" s="120"/>
      <c r="D596" s="121" t="s">
        <v>240</v>
      </c>
    </row>
    <row r="597" spans="1:4">
      <c r="A597" s="120"/>
      <c r="B597" s="120"/>
      <c r="C597" s="120"/>
      <c r="D597" s="120"/>
    </row>
    <row r="598" spans="1:4">
      <c r="A598" s="120"/>
      <c r="B598" s="120"/>
      <c r="C598" s="120"/>
      <c r="D598" s="120"/>
    </row>
    <row r="599" spans="1:4">
      <c r="A599" s="122">
        <f>'DATA SISWA'!M17</f>
        <v>0</v>
      </c>
      <c r="B599" s="120"/>
      <c r="C599" s="120"/>
      <c r="D599" s="53" t="s">
        <v>241</v>
      </c>
    </row>
    <row r="600" spans="1:4">
      <c r="A600" s="120"/>
      <c r="B600" s="120"/>
      <c r="C600" s="120"/>
      <c r="D600" s="6" t="s">
        <v>242</v>
      </c>
    </row>
    <row r="604" spans="1:6">
      <c r="A604" s="2" t="s">
        <v>178</v>
      </c>
      <c r="B604" s="2"/>
      <c r="C604" s="2"/>
      <c r="D604" s="2"/>
      <c r="E604" s="2"/>
      <c r="F604" s="2"/>
    </row>
    <row r="605" spans="1:6">
      <c r="A605" s="2"/>
      <c r="B605" s="2"/>
      <c r="C605" s="2"/>
      <c r="D605" s="2"/>
      <c r="E605" s="2"/>
      <c r="F605" s="2"/>
    </row>
    <row r="606" spans="1:6">
      <c r="A606" s="2"/>
      <c r="B606" s="2"/>
      <c r="C606" s="2"/>
      <c r="D606" s="2"/>
      <c r="E606" s="2"/>
      <c r="F606" s="2"/>
    </row>
    <row r="607" spans="1:6">
      <c r="A607" s="3"/>
      <c r="B607" s="3"/>
      <c r="C607" s="3"/>
      <c r="D607" s="3"/>
      <c r="E607" s="3"/>
      <c r="F607" s="3"/>
    </row>
    <row r="609" spans="1:4">
      <c r="A609" s="151" t="s">
        <v>179</v>
      </c>
      <c r="B609" s="6"/>
      <c r="C609" s="6">
        <f>'DATA SISWA'!B18</f>
        <v>0</v>
      </c>
      <c r="D609" s="151" t="s">
        <v>180</v>
      </c>
    </row>
    <row r="610" spans="1:6">
      <c r="A610" s="151" t="s">
        <v>113</v>
      </c>
      <c r="B610" s="6"/>
      <c r="C610" s="6" t="s">
        <v>157</v>
      </c>
      <c r="D610" s="151" t="s">
        <v>114</v>
      </c>
      <c r="E610" s="6"/>
      <c r="F610" s="6" t="s">
        <v>7</v>
      </c>
    </row>
    <row r="612" ht="19.5" spans="1:6">
      <c r="A612" s="74" t="s">
        <v>180</v>
      </c>
      <c r="B612" s="74"/>
      <c r="C612" s="76" t="s">
        <v>182</v>
      </c>
      <c r="D612" s="77" t="s">
        <v>117</v>
      </c>
      <c r="E612" s="78"/>
      <c r="F612" s="79"/>
    </row>
    <row r="613" ht="19.5" spans="1:6">
      <c r="A613" s="80"/>
      <c r="B613" s="82"/>
      <c r="C613" s="82"/>
      <c r="D613" s="84" t="s">
        <v>183</v>
      </c>
      <c r="E613" s="84"/>
      <c r="F613" s="84" t="s">
        <v>184</v>
      </c>
    </row>
    <row r="614" spans="1:6">
      <c r="A614" s="92" t="s">
        <v>107</v>
      </c>
      <c r="B614" s="172"/>
      <c r="C614" s="87" t="s">
        <v>185</v>
      </c>
      <c r="D614" s="13"/>
      <c r="E614" s="13"/>
      <c r="F614" s="13"/>
    </row>
    <row r="615" spans="1:6">
      <c r="A615" s="85"/>
      <c r="B615" s="173"/>
      <c r="C615" s="88" t="s">
        <v>186</v>
      </c>
      <c r="D615" s="11"/>
      <c r="E615" s="11"/>
      <c r="F615" s="11"/>
    </row>
    <row r="616" ht="16.5" spans="1:6">
      <c r="A616" s="89"/>
      <c r="B616" s="174"/>
      <c r="C616" s="91" t="s">
        <v>187</v>
      </c>
      <c r="D616" s="23"/>
      <c r="E616" s="23"/>
      <c r="F616" s="23"/>
    </row>
    <row r="617" spans="1:6">
      <c r="A617" s="92" t="s">
        <v>188</v>
      </c>
      <c r="B617" s="172"/>
      <c r="C617" s="87" t="s">
        <v>189</v>
      </c>
      <c r="D617" s="13"/>
      <c r="E617" s="13"/>
      <c r="F617" s="13"/>
    </row>
    <row r="618" spans="1:6">
      <c r="A618" s="85"/>
      <c r="B618" s="175"/>
      <c r="C618" s="94" t="s">
        <v>190</v>
      </c>
      <c r="D618" s="11"/>
      <c r="E618" s="11"/>
      <c r="F618" s="11"/>
    </row>
    <row r="619" ht="16.5" spans="1:6">
      <c r="A619" s="89"/>
      <c r="B619" s="174"/>
      <c r="C619" s="91" t="s">
        <v>191</v>
      </c>
      <c r="D619" s="23"/>
      <c r="E619" s="23"/>
      <c r="F619" s="23"/>
    </row>
    <row r="620" spans="1:6">
      <c r="A620" s="92" t="s">
        <v>192</v>
      </c>
      <c r="B620" s="172"/>
      <c r="C620" s="87" t="s">
        <v>193</v>
      </c>
      <c r="D620" s="13"/>
      <c r="E620" s="13"/>
      <c r="F620" s="13"/>
    </row>
    <row r="621" spans="1:6">
      <c r="A621" s="85"/>
      <c r="B621" s="173"/>
      <c r="C621" s="88" t="s">
        <v>194</v>
      </c>
      <c r="D621" s="11"/>
      <c r="E621" s="11"/>
      <c r="F621" s="11"/>
    </row>
    <row r="622" spans="1:6">
      <c r="A622" s="85"/>
      <c r="B622" s="173"/>
      <c r="C622" s="88" t="s">
        <v>195</v>
      </c>
      <c r="D622" s="11"/>
      <c r="E622" s="11"/>
      <c r="F622" s="11"/>
    </row>
    <row r="623" spans="1:6">
      <c r="A623" s="85"/>
      <c r="B623" s="173"/>
      <c r="C623" s="88" t="s">
        <v>196</v>
      </c>
      <c r="D623" s="11"/>
      <c r="E623" s="11"/>
      <c r="F623" s="11"/>
    </row>
    <row r="624" spans="1:6">
      <c r="A624" s="85"/>
      <c r="B624" s="173"/>
      <c r="C624" s="88" t="s">
        <v>197</v>
      </c>
      <c r="D624" s="11"/>
      <c r="E624" s="11"/>
      <c r="F624" s="11"/>
    </row>
    <row r="625" ht="16.5" spans="1:6">
      <c r="A625" s="89"/>
      <c r="B625" s="176"/>
      <c r="C625" s="95" t="s">
        <v>198</v>
      </c>
      <c r="D625" s="23"/>
      <c r="E625" s="23"/>
      <c r="F625" s="23"/>
    </row>
    <row r="626" spans="1:6">
      <c r="A626" s="92" t="s">
        <v>199</v>
      </c>
      <c r="B626" s="172"/>
      <c r="C626" s="87" t="s">
        <v>200</v>
      </c>
      <c r="D626" s="13"/>
      <c r="E626" s="13"/>
      <c r="F626" s="13"/>
    </row>
    <row r="627" spans="1:6">
      <c r="A627" s="85"/>
      <c r="B627" s="173"/>
      <c r="C627" s="88" t="s">
        <v>201</v>
      </c>
      <c r="D627" s="11"/>
      <c r="E627" s="11"/>
      <c r="F627" s="11"/>
    </row>
    <row r="628" spans="1:6">
      <c r="A628" s="85"/>
      <c r="B628" s="173"/>
      <c r="C628" s="88" t="s">
        <v>202</v>
      </c>
      <c r="D628" s="11"/>
      <c r="E628" s="11"/>
      <c r="F628" s="11"/>
    </row>
    <row r="629" spans="1:6">
      <c r="A629" s="85"/>
      <c r="B629" s="173"/>
      <c r="C629" s="88" t="s">
        <v>203</v>
      </c>
      <c r="D629" s="11"/>
      <c r="E629" s="11"/>
      <c r="F629" s="11"/>
    </row>
    <row r="630" spans="1:6">
      <c r="A630" s="85"/>
      <c r="B630" s="173"/>
      <c r="C630" s="88" t="s">
        <v>204</v>
      </c>
      <c r="D630" s="11"/>
      <c r="E630" s="11"/>
      <c r="F630" s="11"/>
    </row>
    <row r="631" ht="16.5" spans="1:6">
      <c r="A631" s="89"/>
      <c r="B631" s="174"/>
      <c r="C631" s="91" t="s">
        <v>205</v>
      </c>
      <c r="D631" s="23"/>
      <c r="E631" s="23"/>
      <c r="F631" s="23"/>
    </row>
    <row r="632" spans="1:6">
      <c r="A632" s="92" t="s">
        <v>206</v>
      </c>
      <c r="B632" s="172"/>
      <c r="C632" s="87" t="s">
        <v>207</v>
      </c>
      <c r="D632" s="13"/>
      <c r="E632" s="13"/>
      <c r="F632" s="13"/>
    </row>
    <row r="633" spans="1:6">
      <c r="A633" s="85"/>
      <c r="B633" s="173"/>
      <c r="C633" s="88" t="s">
        <v>208</v>
      </c>
      <c r="D633" s="11"/>
      <c r="E633" s="11"/>
      <c r="F633" s="11"/>
    </row>
    <row r="634" spans="1:6">
      <c r="A634" s="85"/>
      <c r="B634" s="173"/>
      <c r="C634" s="88" t="s">
        <v>209</v>
      </c>
      <c r="D634" s="11"/>
      <c r="E634" s="11"/>
      <c r="F634" s="11"/>
    </row>
    <row r="635" spans="1:6">
      <c r="A635" s="85"/>
      <c r="B635" s="173"/>
      <c r="C635" s="88" t="s">
        <v>210</v>
      </c>
      <c r="D635" s="11"/>
      <c r="E635" s="11"/>
      <c r="F635" s="11"/>
    </row>
    <row r="636" spans="1:6">
      <c r="A636" s="85"/>
      <c r="B636" s="173"/>
      <c r="C636" s="88" t="s">
        <v>211</v>
      </c>
      <c r="D636" s="11"/>
      <c r="E636" s="11"/>
      <c r="F636" s="11"/>
    </row>
    <row r="637" ht="16.5" spans="1:6">
      <c r="A637" s="89"/>
      <c r="B637" s="174"/>
      <c r="C637" s="91" t="s">
        <v>212</v>
      </c>
      <c r="D637" s="23"/>
      <c r="E637" s="23"/>
      <c r="F637" s="23"/>
    </row>
    <row r="638" spans="1:6">
      <c r="A638" s="92" t="s">
        <v>213</v>
      </c>
      <c r="B638" s="172"/>
      <c r="C638" s="87" t="s">
        <v>214</v>
      </c>
      <c r="D638" s="13"/>
      <c r="E638" s="13"/>
      <c r="F638" s="13"/>
    </row>
    <row r="639" spans="1:6">
      <c r="A639" s="85"/>
      <c r="B639" s="173"/>
      <c r="C639" s="88" t="s">
        <v>215</v>
      </c>
      <c r="D639" s="11"/>
      <c r="E639" s="11"/>
      <c r="F639" s="11"/>
    </row>
    <row r="640" spans="1:6">
      <c r="A640" s="85"/>
      <c r="B640" s="173"/>
      <c r="C640" s="88" t="s">
        <v>216</v>
      </c>
      <c r="D640" s="11"/>
      <c r="E640" s="11"/>
      <c r="F640" s="11"/>
    </row>
    <row r="641" spans="1:6">
      <c r="A641" s="85"/>
      <c r="B641" s="173"/>
      <c r="C641" s="88" t="s">
        <v>217</v>
      </c>
      <c r="D641" s="11"/>
      <c r="E641" s="11"/>
      <c r="F641" s="11"/>
    </row>
    <row r="642" spans="1:6">
      <c r="A642" s="85"/>
      <c r="B642" s="175"/>
      <c r="C642" s="94" t="s">
        <v>218</v>
      </c>
      <c r="D642" s="11"/>
      <c r="E642" s="11"/>
      <c r="F642" s="11"/>
    </row>
    <row r="643" ht="16.5" spans="1:6">
      <c r="A643" s="89"/>
      <c r="B643" s="173"/>
      <c r="C643" s="96" t="s">
        <v>219</v>
      </c>
      <c r="D643" s="33"/>
      <c r="E643" s="33"/>
      <c r="F643" s="33"/>
    </row>
    <row r="644" spans="1:6">
      <c r="A644" s="98" t="s">
        <v>220</v>
      </c>
      <c r="B644" s="172"/>
      <c r="C644" s="87" t="s">
        <v>221</v>
      </c>
      <c r="D644" s="13"/>
      <c r="E644" s="65"/>
      <c r="F644" s="65"/>
    </row>
    <row r="645" spans="1:6">
      <c r="A645" s="101"/>
      <c r="B645" s="173"/>
      <c r="C645" s="88" t="s">
        <v>222</v>
      </c>
      <c r="D645" s="11"/>
      <c r="E645" s="66"/>
      <c r="F645" s="66"/>
    </row>
    <row r="646" ht="16.5" spans="1:6">
      <c r="A646" s="105"/>
      <c r="B646" s="174"/>
      <c r="C646" s="91" t="s">
        <v>223</v>
      </c>
      <c r="D646" s="23"/>
      <c r="E646" s="64"/>
      <c r="F646" s="64"/>
    </row>
    <row r="647" spans="1:6">
      <c r="A647" s="114" t="s">
        <v>224</v>
      </c>
      <c r="B647" s="173"/>
      <c r="C647" s="110" t="s">
        <v>225</v>
      </c>
      <c r="D647" s="111"/>
      <c r="E647" s="111"/>
      <c r="F647" s="111"/>
    </row>
    <row r="648" ht="16.5" spans="1:6">
      <c r="A648" s="112"/>
      <c r="B648" s="174"/>
      <c r="C648" s="91" t="s">
        <v>226</v>
      </c>
      <c r="D648" s="23"/>
      <c r="E648" s="23"/>
      <c r="F648" s="23"/>
    </row>
    <row r="649" spans="1:6">
      <c r="A649" s="114" t="s">
        <v>227</v>
      </c>
      <c r="B649" s="172"/>
      <c r="C649" s="87" t="s">
        <v>228</v>
      </c>
      <c r="D649" s="13"/>
      <c r="E649" s="13"/>
      <c r="F649" s="13"/>
    </row>
    <row r="650" spans="1:6">
      <c r="A650" s="108"/>
      <c r="B650" s="173"/>
      <c r="C650" s="88" t="s">
        <v>229</v>
      </c>
      <c r="D650" s="11"/>
      <c r="E650" s="11"/>
      <c r="F650" s="11"/>
    </row>
    <row r="651" spans="1:6">
      <c r="A651" s="108"/>
      <c r="B651" s="173"/>
      <c r="C651" s="88" t="s">
        <v>230</v>
      </c>
      <c r="D651" s="11"/>
      <c r="E651" s="11"/>
      <c r="F651" s="11"/>
    </row>
    <row r="652" spans="1:6">
      <c r="A652" s="108"/>
      <c r="B652" s="173"/>
      <c r="C652" s="88" t="s">
        <v>231</v>
      </c>
      <c r="D652" s="11"/>
      <c r="E652" s="11"/>
      <c r="F652" s="11"/>
    </row>
    <row r="653" spans="1:6">
      <c r="A653" s="108"/>
      <c r="B653" s="173"/>
      <c r="C653" s="88" t="s">
        <v>232</v>
      </c>
      <c r="D653" s="11"/>
      <c r="E653" s="11"/>
      <c r="F653" s="11"/>
    </row>
    <row r="654" spans="1:6">
      <c r="A654" s="108"/>
      <c r="B654" s="173"/>
      <c r="C654" s="88" t="s">
        <v>233</v>
      </c>
      <c r="D654" s="11"/>
      <c r="E654" s="11"/>
      <c r="F654" s="11"/>
    </row>
    <row r="655" spans="1:6">
      <c r="A655" s="108"/>
      <c r="B655" s="173"/>
      <c r="C655" s="88" t="s">
        <v>234</v>
      </c>
      <c r="D655" s="11"/>
      <c r="E655" s="11"/>
      <c r="F655" s="11"/>
    </row>
    <row r="656" spans="1:6">
      <c r="A656" s="108"/>
      <c r="B656" s="173"/>
      <c r="C656" s="88" t="s">
        <v>235</v>
      </c>
      <c r="D656" s="11"/>
      <c r="E656" s="11"/>
      <c r="F656" s="11"/>
    </row>
    <row r="657" spans="1:6">
      <c r="A657" s="108"/>
      <c r="B657" s="173"/>
      <c r="C657" s="88" t="s">
        <v>236</v>
      </c>
      <c r="D657" s="11"/>
      <c r="E657" s="11"/>
      <c r="F657" s="11"/>
    </row>
    <row r="658" ht="16.5" spans="1:6">
      <c r="A658" s="112"/>
      <c r="B658" s="174"/>
      <c r="C658" s="91" t="s">
        <v>237</v>
      </c>
      <c r="D658" s="23"/>
      <c r="E658" s="23"/>
      <c r="F658" s="23"/>
    </row>
    <row r="659" ht="16.5" spans="1:1">
      <c r="A659" s="6"/>
    </row>
    <row r="660" ht="30" customHeight="1" spans="1:6">
      <c r="A660" s="116" t="s">
        <v>238</v>
      </c>
      <c r="B660" s="52"/>
      <c r="C660" s="169"/>
      <c r="D660" s="170"/>
      <c r="E660" s="170"/>
      <c r="F660" s="171"/>
    </row>
    <row r="662" spans="1:4">
      <c r="A662" s="120" t="s">
        <v>137</v>
      </c>
      <c r="B662" s="120"/>
      <c r="C662" s="120"/>
      <c r="D662" s="120" t="s">
        <v>138</v>
      </c>
    </row>
    <row r="663" spans="1:4">
      <c r="A663" s="120" t="s">
        <v>139</v>
      </c>
      <c r="B663" s="120"/>
      <c r="C663" s="120"/>
      <c r="D663" s="121" t="s">
        <v>240</v>
      </c>
    </row>
    <row r="664" spans="1:4">
      <c r="A664" s="120"/>
      <c r="B664" s="120"/>
      <c r="C664" s="120"/>
      <c r="D664" s="120"/>
    </row>
    <row r="665" spans="1:4">
      <c r="A665" s="120"/>
      <c r="B665" s="120"/>
      <c r="C665" s="120"/>
      <c r="D665" s="120"/>
    </row>
    <row r="666" spans="1:4">
      <c r="A666" s="122">
        <f>'DATA SISWA'!M18</f>
        <v>0</v>
      </c>
      <c r="B666" s="120"/>
      <c r="C666" s="120"/>
      <c r="D666" s="53" t="s">
        <v>241</v>
      </c>
    </row>
    <row r="667" spans="1:4">
      <c r="A667" s="120"/>
      <c r="B667" s="120"/>
      <c r="C667" s="120"/>
      <c r="D667" s="6" t="s">
        <v>242</v>
      </c>
    </row>
    <row r="671" spans="1:6">
      <c r="A671" s="2" t="s">
        <v>178</v>
      </c>
      <c r="B671" s="2"/>
      <c r="C671" s="2"/>
      <c r="D671" s="2"/>
      <c r="E671" s="2"/>
      <c r="F671" s="2"/>
    </row>
    <row r="672" spans="1:6">
      <c r="A672" s="2"/>
      <c r="B672" s="2"/>
      <c r="C672" s="2"/>
      <c r="D672" s="2"/>
      <c r="E672" s="2"/>
      <c r="F672" s="2"/>
    </row>
    <row r="673" spans="1:6">
      <c r="A673" s="2"/>
      <c r="B673" s="2"/>
      <c r="C673" s="2"/>
      <c r="D673" s="2"/>
      <c r="E673" s="2"/>
      <c r="F673" s="2"/>
    </row>
    <row r="674" spans="1:6">
      <c r="A674" s="3"/>
      <c r="B674" s="3"/>
      <c r="C674" s="3"/>
      <c r="D674" s="3"/>
      <c r="E674" s="3"/>
      <c r="F674" s="3"/>
    </row>
    <row r="676" spans="1:4">
      <c r="A676" s="151" t="s">
        <v>179</v>
      </c>
      <c r="D676" s="151" t="s">
        <v>180</v>
      </c>
    </row>
    <row r="677" spans="1:6">
      <c r="A677" s="151" t="s">
        <v>113</v>
      </c>
      <c r="B677" s="6"/>
      <c r="C677" s="6" t="s">
        <v>157</v>
      </c>
      <c r="D677" s="151" t="s">
        <v>114</v>
      </c>
      <c r="E677" s="6"/>
      <c r="F677" s="6" t="s">
        <v>7</v>
      </c>
    </row>
    <row r="679" ht="19.5" spans="1:6">
      <c r="A679" s="74" t="s">
        <v>180</v>
      </c>
      <c r="B679" s="74"/>
      <c r="C679" s="76" t="s">
        <v>182</v>
      </c>
      <c r="D679" s="77" t="s">
        <v>117</v>
      </c>
      <c r="E679" s="78"/>
      <c r="F679" s="79"/>
    </row>
    <row r="680" ht="19.5" spans="1:6">
      <c r="A680" s="80"/>
      <c r="B680" s="82"/>
      <c r="C680" s="82"/>
      <c r="D680" s="84" t="s">
        <v>183</v>
      </c>
      <c r="E680" s="84"/>
      <c r="F680" s="84" t="s">
        <v>184</v>
      </c>
    </row>
    <row r="681" spans="1:6">
      <c r="A681" s="92" t="s">
        <v>107</v>
      </c>
      <c r="B681" s="172"/>
      <c r="C681" s="87" t="s">
        <v>185</v>
      </c>
      <c r="D681" s="13"/>
      <c r="E681" s="13"/>
      <c r="F681" s="13"/>
    </row>
    <row r="682" spans="1:6">
      <c r="A682" s="85"/>
      <c r="B682" s="173"/>
      <c r="C682" s="88" t="s">
        <v>186</v>
      </c>
      <c r="D682" s="11"/>
      <c r="E682" s="11"/>
      <c r="F682" s="11"/>
    </row>
    <row r="683" ht="16.5" spans="1:6">
      <c r="A683" s="89"/>
      <c r="B683" s="174"/>
      <c r="C683" s="91" t="s">
        <v>187</v>
      </c>
      <c r="D683" s="23"/>
      <c r="E683" s="23"/>
      <c r="F683" s="23"/>
    </row>
    <row r="684" spans="1:6">
      <c r="A684" s="92" t="s">
        <v>188</v>
      </c>
      <c r="B684" s="172"/>
      <c r="C684" s="87" t="s">
        <v>189</v>
      </c>
      <c r="D684" s="13"/>
      <c r="E684" s="13"/>
      <c r="F684" s="13"/>
    </row>
    <row r="685" spans="1:6">
      <c r="A685" s="85"/>
      <c r="B685" s="175"/>
      <c r="C685" s="94" t="s">
        <v>190</v>
      </c>
      <c r="D685" s="11"/>
      <c r="E685" s="11"/>
      <c r="F685" s="11"/>
    </row>
    <row r="686" ht="16.5" spans="1:6">
      <c r="A686" s="89"/>
      <c r="B686" s="174"/>
      <c r="C686" s="91" t="s">
        <v>191</v>
      </c>
      <c r="D686" s="23"/>
      <c r="E686" s="23"/>
      <c r="F686" s="23"/>
    </row>
    <row r="687" spans="1:6">
      <c r="A687" s="92" t="s">
        <v>192</v>
      </c>
      <c r="B687" s="172"/>
      <c r="C687" s="87" t="s">
        <v>193</v>
      </c>
      <c r="D687" s="13"/>
      <c r="E687" s="13"/>
      <c r="F687" s="13"/>
    </row>
    <row r="688" spans="1:6">
      <c r="A688" s="85"/>
      <c r="B688" s="173"/>
      <c r="C688" s="88" t="s">
        <v>194</v>
      </c>
      <c r="D688" s="11"/>
      <c r="E688" s="11"/>
      <c r="F688" s="11"/>
    </row>
    <row r="689" spans="1:6">
      <c r="A689" s="85"/>
      <c r="B689" s="173"/>
      <c r="C689" s="88" t="s">
        <v>195</v>
      </c>
      <c r="D689" s="11"/>
      <c r="E689" s="11"/>
      <c r="F689" s="11"/>
    </row>
    <row r="690" spans="1:6">
      <c r="A690" s="85"/>
      <c r="B690" s="173"/>
      <c r="C690" s="88" t="s">
        <v>196</v>
      </c>
      <c r="D690" s="11"/>
      <c r="E690" s="11"/>
      <c r="F690" s="11"/>
    </row>
    <row r="691" spans="1:6">
      <c r="A691" s="85"/>
      <c r="B691" s="173"/>
      <c r="C691" s="88" t="s">
        <v>197</v>
      </c>
      <c r="D691" s="11"/>
      <c r="E691" s="11"/>
      <c r="F691" s="11"/>
    </row>
    <row r="692" ht="16.5" spans="1:6">
      <c r="A692" s="89"/>
      <c r="B692" s="176"/>
      <c r="C692" s="95" t="s">
        <v>198</v>
      </c>
      <c r="D692" s="23"/>
      <c r="E692" s="23"/>
      <c r="F692" s="23"/>
    </row>
    <row r="693" spans="1:6">
      <c r="A693" s="92" t="s">
        <v>199</v>
      </c>
      <c r="B693" s="172"/>
      <c r="C693" s="87" t="s">
        <v>200</v>
      </c>
      <c r="D693" s="13"/>
      <c r="E693" s="13"/>
      <c r="F693" s="13"/>
    </row>
    <row r="694" spans="1:6">
      <c r="A694" s="85"/>
      <c r="B694" s="173"/>
      <c r="C694" s="88" t="s">
        <v>201</v>
      </c>
      <c r="D694" s="11"/>
      <c r="E694" s="11"/>
      <c r="F694" s="11"/>
    </row>
    <row r="695" spans="1:6">
      <c r="A695" s="85"/>
      <c r="B695" s="173"/>
      <c r="C695" s="88" t="s">
        <v>202</v>
      </c>
      <c r="D695" s="11"/>
      <c r="E695" s="11"/>
      <c r="F695" s="11"/>
    </row>
    <row r="696" spans="1:6">
      <c r="A696" s="85"/>
      <c r="B696" s="173"/>
      <c r="C696" s="88" t="s">
        <v>203</v>
      </c>
      <c r="D696" s="11"/>
      <c r="E696" s="11"/>
      <c r="F696" s="11"/>
    </row>
    <row r="697" spans="1:6">
      <c r="A697" s="85"/>
      <c r="B697" s="173"/>
      <c r="C697" s="88" t="s">
        <v>204</v>
      </c>
      <c r="D697" s="11"/>
      <c r="E697" s="11"/>
      <c r="F697" s="11"/>
    </row>
    <row r="698" ht="16.5" spans="1:6">
      <c r="A698" s="89"/>
      <c r="B698" s="174"/>
      <c r="C698" s="91" t="s">
        <v>205</v>
      </c>
      <c r="D698" s="23"/>
      <c r="E698" s="23"/>
      <c r="F698" s="23"/>
    </row>
    <row r="699" spans="1:6">
      <c r="A699" s="92" t="s">
        <v>206</v>
      </c>
      <c r="B699" s="172"/>
      <c r="C699" s="87" t="s">
        <v>207</v>
      </c>
      <c r="D699" s="13"/>
      <c r="E699" s="13"/>
      <c r="F699" s="13"/>
    </row>
    <row r="700" spans="1:6">
      <c r="A700" s="85"/>
      <c r="B700" s="173"/>
      <c r="C700" s="88" t="s">
        <v>208</v>
      </c>
      <c r="D700" s="11"/>
      <c r="E700" s="11"/>
      <c r="F700" s="11"/>
    </row>
    <row r="701" spans="1:6">
      <c r="A701" s="85"/>
      <c r="B701" s="173"/>
      <c r="C701" s="88" t="s">
        <v>209</v>
      </c>
      <c r="D701" s="11"/>
      <c r="E701" s="11"/>
      <c r="F701" s="11"/>
    </row>
    <row r="702" spans="1:6">
      <c r="A702" s="85"/>
      <c r="B702" s="173"/>
      <c r="C702" s="88" t="s">
        <v>210</v>
      </c>
      <c r="D702" s="11"/>
      <c r="E702" s="11"/>
      <c r="F702" s="11"/>
    </row>
    <row r="703" spans="1:6">
      <c r="A703" s="85"/>
      <c r="B703" s="173"/>
      <c r="C703" s="88" t="s">
        <v>211</v>
      </c>
      <c r="D703" s="11"/>
      <c r="E703" s="11"/>
      <c r="F703" s="11"/>
    </row>
    <row r="704" ht="16.5" spans="1:6">
      <c r="A704" s="89"/>
      <c r="B704" s="174"/>
      <c r="C704" s="91" t="s">
        <v>212</v>
      </c>
      <c r="D704" s="23"/>
      <c r="E704" s="23"/>
      <c r="F704" s="23"/>
    </row>
    <row r="705" spans="1:6">
      <c r="A705" s="92" t="s">
        <v>213</v>
      </c>
      <c r="B705" s="172"/>
      <c r="C705" s="87" t="s">
        <v>214</v>
      </c>
      <c r="D705" s="13"/>
      <c r="E705" s="13"/>
      <c r="F705" s="13"/>
    </row>
    <row r="706" spans="1:6">
      <c r="A706" s="85"/>
      <c r="B706" s="173"/>
      <c r="C706" s="88" t="s">
        <v>215</v>
      </c>
      <c r="D706" s="11"/>
      <c r="E706" s="11"/>
      <c r="F706" s="11"/>
    </row>
    <row r="707" spans="1:6">
      <c r="A707" s="85"/>
      <c r="B707" s="173"/>
      <c r="C707" s="88" t="s">
        <v>216</v>
      </c>
      <c r="D707" s="11"/>
      <c r="E707" s="11"/>
      <c r="F707" s="11"/>
    </row>
    <row r="708" spans="1:6">
      <c r="A708" s="85"/>
      <c r="B708" s="173"/>
      <c r="C708" s="88" t="s">
        <v>217</v>
      </c>
      <c r="D708" s="11"/>
      <c r="E708" s="11"/>
      <c r="F708" s="11"/>
    </row>
    <row r="709" spans="1:6">
      <c r="A709" s="85"/>
      <c r="B709" s="175"/>
      <c r="C709" s="94" t="s">
        <v>218</v>
      </c>
      <c r="D709" s="11"/>
      <c r="E709" s="11"/>
      <c r="F709" s="11"/>
    </row>
    <row r="710" ht="16.5" spans="1:6">
      <c r="A710" s="89"/>
      <c r="B710" s="173"/>
      <c r="C710" s="96" t="s">
        <v>219</v>
      </c>
      <c r="D710" s="33"/>
      <c r="E710" s="33"/>
      <c r="F710" s="33"/>
    </row>
    <row r="711" spans="1:6">
      <c r="A711" s="98" t="s">
        <v>220</v>
      </c>
      <c r="B711" s="172"/>
      <c r="C711" s="87" t="s">
        <v>221</v>
      </c>
      <c r="D711" s="13"/>
      <c r="E711" s="65"/>
      <c r="F711" s="65"/>
    </row>
    <row r="712" spans="1:6">
      <c r="A712" s="101"/>
      <c r="B712" s="173"/>
      <c r="C712" s="88" t="s">
        <v>251</v>
      </c>
      <c r="D712" s="11"/>
      <c r="E712" s="66"/>
      <c r="F712" s="66"/>
    </row>
    <row r="713" ht="16.5" spans="1:6">
      <c r="A713" s="105"/>
      <c r="B713" s="174"/>
      <c r="C713" s="91" t="s">
        <v>252</v>
      </c>
      <c r="D713" s="23"/>
      <c r="E713" s="64"/>
      <c r="F713" s="64"/>
    </row>
    <row r="714" spans="1:6">
      <c r="A714" s="114" t="s">
        <v>224</v>
      </c>
      <c r="B714" s="173"/>
      <c r="C714" s="110" t="s">
        <v>225</v>
      </c>
      <c r="D714" s="111"/>
      <c r="E714" s="111"/>
      <c r="F714" s="111"/>
    </row>
    <row r="715" ht="16.5" spans="1:6">
      <c r="A715" s="112"/>
      <c r="B715" s="174"/>
      <c r="C715" s="91" t="s">
        <v>226</v>
      </c>
      <c r="D715" s="23"/>
      <c r="E715" s="23"/>
      <c r="F715" s="23"/>
    </row>
    <row r="716" spans="1:6">
      <c r="A716" s="114" t="s">
        <v>227</v>
      </c>
      <c r="B716" s="172"/>
      <c r="C716" s="87" t="s">
        <v>228</v>
      </c>
      <c r="D716" s="13"/>
      <c r="E716" s="13"/>
      <c r="F716" s="13"/>
    </row>
    <row r="717" spans="1:6">
      <c r="A717" s="108"/>
      <c r="B717" s="173"/>
      <c r="C717" s="88" t="s">
        <v>229</v>
      </c>
      <c r="D717" s="11"/>
      <c r="E717" s="11"/>
      <c r="F717" s="11"/>
    </row>
    <row r="718" spans="1:6">
      <c r="A718" s="108"/>
      <c r="B718" s="173"/>
      <c r="C718" s="88" t="s">
        <v>230</v>
      </c>
      <c r="D718" s="11"/>
      <c r="E718" s="11"/>
      <c r="F718" s="11"/>
    </row>
    <row r="719" spans="1:6">
      <c r="A719" s="108"/>
      <c r="B719" s="173"/>
      <c r="C719" s="88" t="s">
        <v>231</v>
      </c>
      <c r="D719" s="11"/>
      <c r="E719" s="11"/>
      <c r="F719" s="11"/>
    </row>
    <row r="720" spans="1:6">
      <c r="A720" s="108"/>
      <c r="B720" s="173"/>
      <c r="C720" s="88" t="s">
        <v>232</v>
      </c>
      <c r="D720" s="11"/>
      <c r="E720" s="11"/>
      <c r="F720" s="11"/>
    </row>
    <row r="721" spans="1:6">
      <c r="A721" s="108"/>
      <c r="B721" s="173"/>
      <c r="C721" s="88" t="s">
        <v>233</v>
      </c>
      <c r="D721" s="11"/>
      <c r="E721" s="11"/>
      <c r="F721" s="11"/>
    </row>
    <row r="722" spans="1:6">
      <c r="A722" s="108"/>
      <c r="B722" s="173"/>
      <c r="C722" s="88" t="s">
        <v>234</v>
      </c>
      <c r="D722" s="11"/>
      <c r="E722" s="11"/>
      <c r="F722" s="11"/>
    </row>
    <row r="723" spans="1:6">
      <c r="A723" s="108"/>
      <c r="B723" s="173"/>
      <c r="C723" s="88" t="s">
        <v>235</v>
      </c>
      <c r="D723" s="11"/>
      <c r="E723" s="11"/>
      <c r="F723" s="11"/>
    </row>
    <row r="724" spans="1:6">
      <c r="A724" s="108"/>
      <c r="B724" s="173"/>
      <c r="C724" s="88" t="s">
        <v>236</v>
      </c>
      <c r="D724" s="11"/>
      <c r="E724" s="11"/>
      <c r="F724" s="11"/>
    </row>
    <row r="725" ht="16.5" spans="1:6">
      <c r="A725" s="112"/>
      <c r="B725" s="174"/>
      <c r="C725" s="91" t="s">
        <v>237</v>
      </c>
      <c r="D725" s="23"/>
      <c r="E725" s="23"/>
      <c r="F725" s="23"/>
    </row>
    <row r="726" ht="16.5" spans="1:1">
      <c r="A726" s="6"/>
    </row>
    <row r="727" ht="30" customHeight="1" spans="1:6">
      <c r="A727" s="116" t="s">
        <v>238</v>
      </c>
      <c r="B727" s="52"/>
      <c r="C727" s="169"/>
      <c r="D727" s="170"/>
      <c r="E727" s="170"/>
      <c r="F727" s="171"/>
    </row>
    <row r="729" spans="1:4">
      <c r="A729" s="120" t="s">
        <v>137</v>
      </c>
      <c r="B729" s="120"/>
      <c r="C729" s="120"/>
      <c r="D729" s="120" t="s">
        <v>138</v>
      </c>
    </row>
    <row r="730" spans="1:4">
      <c r="A730" s="120" t="s">
        <v>139</v>
      </c>
      <c r="B730" s="120"/>
      <c r="C730" s="120"/>
      <c r="D730" s="121" t="s">
        <v>240</v>
      </c>
    </row>
    <row r="731" spans="1:4">
      <c r="A731" s="120"/>
      <c r="B731" s="120"/>
      <c r="C731" s="120"/>
      <c r="D731" s="120"/>
    </row>
    <row r="732" spans="1:4">
      <c r="A732" s="120"/>
      <c r="B732" s="120"/>
      <c r="C732" s="120"/>
      <c r="D732" s="120"/>
    </row>
    <row r="733" spans="1:4">
      <c r="A733" s="122" t="e">
        <f>'DATA SISWA'!#REF!</f>
        <v>#REF!</v>
      </c>
      <c r="B733" s="120"/>
      <c r="C733" s="120"/>
      <c r="D733" s="53" t="s">
        <v>241</v>
      </c>
    </row>
    <row r="734" spans="1:4">
      <c r="A734" s="120"/>
      <c r="B734" s="120"/>
      <c r="C734" s="120"/>
      <c r="D734" s="6" t="s">
        <v>242</v>
      </c>
    </row>
  </sheetData>
  <mergeCells count="566">
    <mergeCell ref="D9:F9"/>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C57:F57"/>
    <mergeCell ref="D76:F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C124:F124"/>
    <mergeCell ref="D143:F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C191:F191"/>
    <mergeCell ref="D210:F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C258:F258"/>
    <mergeCell ref="D277:F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C325:F325"/>
    <mergeCell ref="D344:F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C392:F392"/>
    <mergeCell ref="D411:F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C459:F459"/>
    <mergeCell ref="D478:F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C526:F526"/>
    <mergeCell ref="D545:F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C593:F593"/>
    <mergeCell ref="D612:F612"/>
    <mergeCell ref="C660:F660"/>
    <mergeCell ref="D679:F679"/>
    <mergeCell ref="C727:F727"/>
    <mergeCell ref="A547:A549"/>
    <mergeCell ref="A550:A552"/>
    <mergeCell ref="A553:A558"/>
    <mergeCell ref="A559:A564"/>
    <mergeCell ref="A565:A570"/>
    <mergeCell ref="A571:A576"/>
    <mergeCell ref="A577:A579"/>
    <mergeCell ref="A580:A581"/>
    <mergeCell ref="A582:A591"/>
    <mergeCell ref="A612:A613"/>
    <mergeCell ref="A614:A616"/>
    <mergeCell ref="A617:A619"/>
    <mergeCell ref="A620:A625"/>
    <mergeCell ref="A626:A631"/>
    <mergeCell ref="A632:A637"/>
    <mergeCell ref="A638:A643"/>
    <mergeCell ref="A644:A646"/>
    <mergeCell ref="A647:A648"/>
    <mergeCell ref="A649:A658"/>
    <mergeCell ref="A679:A680"/>
    <mergeCell ref="A681:A683"/>
    <mergeCell ref="A684:A686"/>
    <mergeCell ref="A687:A692"/>
    <mergeCell ref="A693:A698"/>
    <mergeCell ref="A699:A704"/>
    <mergeCell ref="A705:A710"/>
    <mergeCell ref="A711:A713"/>
    <mergeCell ref="A714:A715"/>
    <mergeCell ref="A716:A725"/>
    <mergeCell ref="C9:C10"/>
    <mergeCell ref="C76:C77"/>
    <mergeCell ref="C143:C144"/>
    <mergeCell ref="C210:C211"/>
    <mergeCell ref="C277:C278"/>
    <mergeCell ref="C344:C345"/>
    <mergeCell ref="C411:C412"/>
    <mergeCell ref="C478:C479"/>
    <mergeCell ref="C545:C546"/>
    <mergeCell ref="C612:C613"/>
    <mergeCell ref="C679:C680"/>
    <mergeCell ref="A9:B10"/>
    <mergeCell ref="A11:B13"/>
    <mergeCell ref="A14:B16"/>
    <mergeCell ref="A17:B22"/>
    <mergeCell ref="A23:B28"/>
    <mergeCell ref="A29:B34"/>
    <mergeCell ref="A35:B40"/>
    <mergeCell ref="A41:B43"/>
    <mergeCell ref="A44:B45"/>
    <mergeCell ref="A46:B55"/>
    <mergeCell ref="A76:B77"/>
    <mergeCell ref="A78:B80"/>
    <mergeCell ref="A81:B83"/>
    <mergeCell ref="A84:B89"/>
    <mergeCell ref="A90:B95"/>
    <mergeCell ref="A96:B101"/>
    <mergeCell ref="A102:B107"/>
    <mergeCell ref="A108:B110"/>
    <mergeCell ref="A111:B112"/>
    <mergeCell ref="A113:B122"/>
    <mergeCell ref="A143:B144"/>
    <mergeCell ref="A145:B147"/>
    <mergeCell ref="A148:B150"/>
    <mergeCell ref="A151:B156"/>
    <mergeCell ref="A157:B162"/>
    <mergeCell ref="A163:B168"/>
    <mergeCell ref="A169:B174"/>
    <mergeCell ref="A175:B177"/>
    <mergeCell ref="A178:B179"/>
    <mergeCell ref="A180:B189"/>
    <mergeCell ref="A210:B211"/>
    <mergeCell ref="A212:B214"/>
    <mergeCell ref="A215:B217"/>
    <mergeCell ref="A218:B223"/>
    <mergeCell ref="A224:B229"/>
    <mergeCell ref="A230:B235"/>
    <mergeCell ref="A236:B241"/>
    <mergeCell ref="A242:B244"/>
    <mergeCell ref="A245:B246"/>
    <mergeCell ref="A247:B256"/>
    <mergeCell ref="A277:B278"/>
    <mergeCell ref="A279:B281"/>
    <mergeCell ref="A282:B284"/>
    <mergeCell ref="A285:B290"/>
    <mergeCell ref="A291:B296"/>
    <mergeCell ref="A297:B302"/>
    <mergeCell ref="A303:B308"/>
    <mergeCell ref="A309:B311"/>
    <mergeCell ref="A312:B313"/>
    <mergeCell ref="A314:B323"/>
    <mergeCell ref="A344:B345"/>
    <mergeCell ref="A346:B348"/>
    <mergeCell ref="A349:B351"/>
    <mergeCell ref="A352:B357"/>
    <mergeCell ref="A358:B363"/>
    <mergeCell ref="A364:B369"/>
    <mergeCell ref="A370:B375"/>
    <mergeCell ref="A376:B378"/>
    <mergeCell ref="A379:B380"/>
    <mergeCell ref="A381:B390"/>
    <mergeCell ref="A411:B412"/>
    <mergeCell ref="A413:B415"/>
    <mergeCell ref="A416:B418"/>
    <mergeCell ref="A419:B424"/>
    <mergeCell ref="A425:B430"/>
    <mergeCell ref="A431:B436"/>
    <mergeCell ref="A437:B442"/>
    <mergeCell ref="A443:B445"/>
    <mergeCell ref="A446:B447"/>
    <mergeCell ref="A448:B457"/>
    <mergeCell ref="A478:B479"/>
    <mergeCell ref="A480:B482"/>
    <mergeCell ref="A483:B485"/>
    <mergeCell ref="A486:B491"/>
    <mergeCell ref="A492:B497"/>
    <mergeCell ref="A498:B503"/>
    <mergeCell ref="A504:B509"/>
    <mergeCell ref="A510:B512"/>
    <mergeCell ref="A513:B514"/>
    <mergeCell ref="A515:B524"/>
    <mergeCell ref="A671:F674"/>
    <mergeCell ref="A604:F607"/>
    <mergeCell ref="A537:F540"/>
    <mergeCell ref="A470:F473"/>
    <mergeCell ref="A403:F406"/>
    <mergeCell ref="A336:F339"/>
    <mergeCell ref="A269:F272"/>
    <mergeCell ref="A202:F205"/>
    <mergeCell ref="A135:F138"/>
    <mergeCell ref="A68:F71"/>
    <mergeCell ref="A1:F4"/>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A1:I443"/>
  <sheetViews>
    <sheetView topLeftCell="A97" workbookViewId="0">
      <selection activeCell="I107" sqref="I107"/>
    </sheetView>
  </sheetViews>
  <sheetFormatPr defaultColWidth="12.5714285714286" defaultRowHeight="15.75"/>
  <cols>
    <col min="1" max="1" width="5.57142857142857" style="1" customWidth="1"/>
    <col min="2" max="2" width="17.2857142857143" style="1" customWidth="1"/>
    <col min="3" max="3" width="12.4285714285714" style="1" customWidth="1"/>
    <col min="4" max="5" width="12.5714285714286" style="1"/>
    <col min="6" max="6" width="5.57142857142857" style="1" customWidth="1"/>
    <col min="7" max="7" width="32.5714285714286" style="1" customWidth="1"/>
    <col min="8" max="8" width="15.8571428571429" style="1" customWidth="1"/>
    <col min="9" max="16384" width="12.5714285714286" style="1"/>
  </cols>
  <sheetData>
    <row r="1" customHeight="1" spans="1:9">
      <c r="A1" s="2" t="s">
        <v>178</v>
      </c>
      <c r="B1" s="2"/>
      <c r="C1" s="2"/>
      <c r="D1" s="2"/>
      <c r="E1" s="2"/>
      <c r="F1" s="2"/>
      <c r="G1" s="2"/>
      <c r="H1" s="2"/>
      <c r="I1" s="2"/>
    </row>
    <row r="2" customHeight="1" spans="1:9">
      <c r="A2" s="2"/>
      <c r="B2" s="2"/>
      <c r="C2" s="2"/>
      <c r="D2" s="2"/>
      <c r="E2" s="2"/>
      <c r="F2" s="2"/>
      <c r="G2" s="2"/>
      <c r="H2" s="2"/>
      <c r="I2" s="2"/>
    </row>
    <row r="3" customHeight="1" spans="1:9">
      <c r="A3" s="2"/>
      <c r="B3" s="2"/>
      <c r="C3" s="2"/>
      <c r="D3" s="2"/>
      <c r="E3" s="2"/>
      <c r="F3" s="2"/>
      <c r="G3" s="2"/>
      <c r="H3" s="2"/>
      <c r="I3" s="2"/>
    </row>
    <row r="4" ht="16.5" customHeight="1" spans="1:9">
      <c r="A4" s="3"/>
      <c r="B4" s="3"/>
      <c r="C4" s="3"/>
      <c r="D4" s="3"/>
      <c r="E4" s="3"/>
      <c r="F4" s="3"/>
      <c r="G4" s="3"/>
      <c r="H4" s="3"/>
      <c r="I4" s="3"/>
    </row>
    <row r="6" spans="1:4">
      <c r="A6" s="4" t="s">
        <v>179</v>
      </c>
      <c r="B6" s="4"/>
      <c r="C6" s="5" t="str">
        <f>'DATA SISWA'!B9</f>
        <v>ALIFAH HANANIYYA</v>
      </c>
      <c r="D6" s="5"/>
    </row>
    <row r="7" spans="1:4">
      <c r="A7" s="4" t="s">
        <v>113</v>
      </c>
      <c r="B7" s="4"/>
      <c r="C7" s="6" t="s">
        <v>3</v>
      </c>
      <c r="D7" s="6"/>
    </row>
    <row r="9" ht="16.5" spans="1:9">
      <c r="A9" s="7" t="s">
        <v>83</v>
      </c>
      <c r="B9" s="7" t="s">
        <v>253</v>
      </c>
      <c r="C9" s="8" t="s">
        <v>180</v>
      </c>
      <c r="D9" s="7" t="s">
        <v>117</v>
      </c>
      <c r="F9" s="9" t="s">
        <v>83</v>
      </c>
      <c r="G9" s="9" t="s">
        <v>253</v>
      </c>
      <c r="H9" s="9" t="s">
        <v>180</v>
      </c>
      <c r="I9" s="58" t="s">
        <v>117</v>
      </c>
    </row>
    <row r="10" spans="1:9">
      <c r="A10" s="10">
        <v>1</v>
      </c>
      <c r="B10" s="11" t="s">
        <v>254</v>
      </c>
      <c r="C10" s="12">
        <v>1</v>
      </c>
      <c r="D10" s="13"/>
      <c r="F10" s="14">
        <v>21</v>
      </c>
      <c r="G10" s="15" t="s">
        <v>255</v>
      </c>
      <c r="H10" s="16" t="s">
        <v>256</v>
      </c>
      <c r="I10" s="35" t="s">
        <v>108</v>
      </c>
    </row>
    <row r="11" ht="16.5" spans="1:9">
      <c r="A11" s="10">
        <v>2</v>
      </c>
      <c r="B11" s="11" t="s">
        <v>257</v>
      </c>
      <c r="C11" s="17"/>
      <c r="D11" s="11"/>
      <c r="F11" s="18">
        <v>22</v>
      </c>
      <c r="G11" s="19" t="s">
        <v>258</v>
      </c>
      <c r="H11" s="20"/>
      <c r="I11" s="22" t="s">
        <v>108</v>
      </c>
    </row>
    <row r="12" spans="1:9">
      <c r="A12" s="10">
        <v>3</v>
      </c>
      <c r="B12" s="11" t="s">
        <v>259</v>
      </c>
      <c r="C12" s="17"/>
      <c r="D12" s="11"/>
      <c r="F12" s="14">
        <v>23</v>
      </c>
      <c r="G12" s="15" t="s">
        <v>260</v>
      </c>
      <c r="H12" s="21" t="s">
        <v>261</v>
      </c>
      <c r="I12" s="59" t="s">
        <v>108</v>
      </c>
    </row>
    <row r="13" ht="16.5" spans="1:9">
      <c r="A13" s="22">
        <v>4</v>
      </c>
      <c r="B13" s="23" t="s">
        <v>262</v>
      </c>
      <c r="C13" s="24"/>
      <c r="D13" s="23"/>
      <c r="F13" s="18">
        <v>24</v>
      </c>
      <c r="G13" s="19" t="s">
        <v>263</v>
      </c>
      <c r="H13" s="25"/>
      <c r="I13" s="60" t="s">
        <v>108</v>
      </c>
    </row>
    <row r="14" ht="15.95" customHeight="1" spans="1:9">
      <c r="A14" s="26">
        <v>5</v>
      </c>
      <c r="B14" s="27" t="s">
        <v>264</v>
      </c>
      <c r="C14" s="28">
        <v>2</v>
      </c>
      <c r="D14" s="13"/>
      <c r="F14" s="14">
        <v>25</v>
      </c>
      <c r="G14" s="15" t="s">
        <v>265</v>
      </c>
      <c r="H14" s="29" t="s">
        <v>266</v>
      </c>
      <c r="I14" s="35" t="s">
        <v>108</v>
      </c>
    </row>
    <row r="15" ht="16.5" spans="1:9">
      <c r="A15" s="26">
        <v>6</v>
      </c>
      <c r="B15" s="27" t="s">
        <v>267</v>
      </c>
      <c r="C15" s="30"/>
      <c r="D15" s="11"/>
      <c r="F15" s="18">
        <v>26</v>
      </c>
      <c r="G15" s="19" t="s">
        <v>268</v>
      </c>
      <c r="H15" s="31"/>
      <c r="I15" s="22" t="s">
        <v>108</v>
      </c>
    </row>
    <row r="16" ht="16.5" spans="1:9">
      <c r="A16" s="18">
        <v>7</v>
      </c>
      <c r="B16" s="19" t="s">
        <v>269</v>
      </c>
      <c r="C16" s="32"/>
      <c r="D16" s="23"/>
      <c r="F16" s="14">
        <v>27</v>
      </c>
      <c r="G16" s="15" t="s">
        <v>270</v>
      </c>
      <c r="H16" s="29" t="s">
        <v>271</v>
      </c>
      <c r="I16" s="35" t="s">
        <v>108</v>
      </c>
    </row>
    <row r="17" ht="16.5" spans="1:9">
      <c r="A17" s="14">
        <v>8</v>
      </c>
      <c r="B17" s="15" t="s">
        <v>272</v>
      </c>
      <c r="C17" s="28">
        <v>3</v>
      </c>
      <c r="D17" s="13"/>
      <c r="F17" s="18">
        <v>28</v>
      </c>
      <c r="G17" s="19" t="s">
        <v>273</v>
      </c>
      <c r="H17" s="31"/>
      <c r="I17" s="23"/>
    </row>
    <row r="18" spans="1:9">
      <c r="A18" s="26">
        <v>9</v>
      </c>
      <c r="B18" s="27" t="s">
        <v>274</v>
      </c>
      <c r="C18" s="30"/>
      <c r="D18" s="11"/>
      <c r="F18" s="14">
        <v>29</v>
      </c>
      <c r="G18" s="15" t="s">
        <v>275</v>
      </c>
      <c r="H18" s="29" t="s">
        <v>276</v>
      </c>
      <c r="I18" s="13"/>
    </row>
    <row r="19" ht="16.5" spans="1:9">
      <c r="A19" s="18">
        <v>10</v>
      </c>
      <c r="B19" s="19" t="s">
        <v>277</v>
      </c>
      <c r="C19" s="32"/>
      <c r="D19" s="33"/>
      <c r="F19" s="26">
        <v>30</v>
      </c>
      <c r="G19" s="27" t="s">
        <v>278</v>
      </c>
      <c r="H19" s="34"/>
      <c r="I19" s="11"/>
    </row>
    <row r="20" spans="1:9">
      <c r="A20" s="14">
        <v>11</v>
      </c>
      <c r="B20" s="15" t="s">
        <v>279</v>
      </c>
      <c r="C20" s="28">
        <v>4</v>
      </c>
      <c r="D20" s="35"/>
      <c r="F20" s="26">
        <v>31</v>
      </c>
      <c r="G20" s="27" t="s">
        <v>280</v>
      </c>
      <c r="H20" s="34"/>
      <c r="I20" s="11"/>
    </row>
    <row r="21" spans="1:9">
      <c r="A21" s="26">
        <v>12</v>
      </c>
      <c r="B21" s="27" t="s">
        <v>281</v>
      </c>
      <c r="C21" s="30"/>
      <c r="D21" s="10"/>
      <c r="F21" s="26">
        <v>32</v>
      </c>
      <c r="G21" s="27" t="s">
        <v>282</v>
      </c>
      <c r="H21" s="34"/>
      <c r="I21" s="11"/>
    </row>
    <row r="22" ht="16.5" spans="1:9">
      <c r="A22" s="18">
        <v>13</v>
      </c>
      <c r="B22" s="19" t="s">
        <v>283</v>
      </c>
      <c r="C22" s="32"/>
      <c r="D22" s="36"/>
      <c r="F22" s="26">
        <v>33</v>
      </c>
      <c r="G22" s="27" t="s">
        <v>284</v>
      </c>
      <c r="H22" s="34"/>
      <c r="I22" s="11"/>
    </row>
    <row r="23" spans="1:9">
      <c r="A23" s="14">
        <v>14</v>
      </c>
      <c r="B23" s="15" t="s">
        <v>285</v>
      </c>
      <c r="C23" s="28">
        <v>5</v>
      </c>
      <c r="D23" s="35"/>
      <c r="F23" s="26">
        <v>34</v>
      </c>
      <c r="G23" s="27" t="s">
        <v>286</v>
      </c>
      <c r="H23" s="34"/>
      <c r="I23" s="11"/>
    </row>
    <row r="24" ht="16.5" spans="1:9">
      <c r="A24" s="18">
        <v>15</v>
      </c>
      <c r="B24" s="19" t="s">
        <v>287</v>
      </c>
      <c r="C24" s="32"/>
      <c r="D24" s="36"/>
      <c r="F24" s="26">
        <v>35</v>
      </c>
      <c r="G24" s="362" t="s">
        <v>288</v>
      </c>
      <c r="H24" s="34"/>
      <c r="I24" s="11"/>
    </row>
    <row r="25" spans="1:9">
      <c r="A25" s="14">
        <v>16</v>
      </c>
      <c r="B25" s="15" t="s">
        <v>289</v>
      </c>
      <c r="C25" s="28">
        <v>6</v>
      </c>
      <c r="D25" s="35"/>
      <c r="F25" s="26">
        <v>36</v>
      </c>
      <c r="G25" s="27" t="s">
        <v>290</v>
      </c>
      <c r="H25" s="34"/>
      <c r="I25" s="11"/>
    </row>
    <row r="26" ht="16.5" spans="1:9">
      <c r="A26" s="18">
        <v>17</v>
      </c>
      <c r="B26" s="19" t="s">
        <v>291</v>
      </c>
      <c r="C26" s="32"/>
      <c r="D26" s="36"/>
      <c r="F26" s="18">
        <v>37</v>
      </c>
      <c r="G26" s="19" t="s">
        <v>292</v>
      </c>
      <c r="H26" s="31"/>
      <c r="I26" s="23"/>
    </row>
    <row r="27" spans="1:9">
      <c r="A27" s="14">
        <v>18</v>
      </c>
      <c r="B27" s="15" t="s">
        <v>293</v>
      </c>
      <c r="C27" s="28" t="s">
        <v>220</v>
      </c>
      <c r="D27" s="35"/>
      <c r="F27" s="26">
        <v>1</v>
      </c>
      <c r="G27" s="27" t="s">
        <v>294</v>
      </c>
      <c r="H27" s="34" t="s">
        <v>295</v>
      </c>
      <c r="I27" s="13"/>
    </row>
    <row r="28" ht="16.5" spans="1:9">
      <c r="A28" s="18">
        <v>19</v>
      </c>
      <c r="B28" s="19" t="s">
        <v>296</v>
      </c>
      <c r="C28" s="32"/>
      <c r="D28" s="22"/>
      <c r="F28" s="18">
        <v>2</v>
      </c>
      <c r="G28" s="19" t="s">
        <v>297</v>
      </c>
      <c r="H28" s="31"/>
      <c r="I28" s="23"/>
    </row>
    <row r="29" ht="32.25" spans="1:4">
      <c r="A29" s="37">
        <v>20</v>
      </c>
      <c r="B29" s="38" t="s">
        <v>298</v>
      </c>
      <c r="C29" s="39" t="s">
        <v>256</v>
      </c>
      <c r="D29" s="37" t="s">
        <v>108</v>
      </c>
    </row>
    <row r="31" ht="16.5" spans="1:4">
      <c r="A31" s="40" t="s">
        <v>83</v>
      </c>
      <c r="B31" s="41" t="s">
        <v>299</v>
      </c>
      <c r="C31" s="41" t="s">
        <v>300</v>
      </c>
      <c r="D31" s="42" t="s">
        <v>118</v>
      </c>
    </row>
    <row r="32" spans="1:4">
      <c r="A32" s="43">
        <v>1</v>
      </c>
      <c r="B32" s="44" t="s">
        <v>301</v>
      </c>
      <c r="C32" s="44" t="s">
        <v>108</v>
      </c>
      <c r="D32" s="45" t="s">
        <v>302</v>
      </c>
    </row>
    <row r="33" spans="1:4">
      <c r="A33" s="46">
        <v>2</v>
      </c>
      <c r="B33" s="47" t="s">
        <v>303</v>
      </c>
      <c r="C33" s="47" t="s">
        <v>130</v>
      </c>
      <c r="D33" s="48" t="s">
        <v>304</v>
      </c>
    </row>
    <row r="34" ht="16.5" spans="1:4">
      <c r="A34" s="49">
        <v>3</v>
      </c>
      <c r="B34" s="50" t="s">
        <v>305</v>
      </c>
      <c r="C34" s="50" t="s">
        <v>126</v>
      </c>
      <c r="D34" s="51" t="s">
        <v>306</v>
      </c>
    </row>
    <row r="36" spans="1:8">
      <c r="A36" s="1" t="s">
        <v>307</v>
      </c>
      <c r="H36" s="1" t="s">
        <v>138</v>
      </c>
    </row>
    <row r="37" spans="1:8">
      <c r="A37" s="1" t="s">
        <v>308</v>
      </c>
      <c r="E37" s="52" t="s">
        <v>309</v>
      </c>
      <c r="F37" s="52"/>
      <c r="H37" s="1" t="s">
        <v>310</v>
      </c>
    </row>
    <row r="40" spans="1:8">
      <c r="A40" s="53" t="s">
        <v>311</v>
      </c>
      <c r="E40" s="54" t="str">
        <f>'DATA SISWA'!M9</f>
        <v>KHAIRUL ASHARI</v>
      </c>
      <c r="F40" s="54"/>
      <c r="H40" s="53" t="s">
        <v>241</v>
      </c>
    </row>
    <row r="41" spans="1:8">
      <c r="A41" s="6" t="s">
        <v>145</v>
      </c>
      <c r="H41" s="6" t="s">
        <v>242</v>
      </c>
    </row>
    <row r="46" spans="1:9">
      <c r="A46" s="2" t="s">
        <v>178</v>
      </c>
      <c r="B46" s="2"/>
      <c r="C46" s="2"/>
      <c r="D46" s="2"/>
      <c r="E46" s="2"/>
      <c r="F46" s="2"/>
      <c r="G46" s="2"/>
      <c r="H46" s="2"/>
      <c r="I46" s="2"/>
    </row>
    <row r="47" spans="1:9">
      <c r="A47" s="2"/>
      <c r="B47" s="2"/>
      <c r="C47" s="2"/>
      <c r="D47" s="2"/>
      <c r="E47" s="2"/>
      <c r="F47" s="2"/>
      <c r="G47" s="2"/>
      <c r="H47" s="2"/>
      <c r="I47" s="2"/>
    </row>
    <row r="48" spans="1:9">
      <c r="A48" s="2"/>
      <c r="B48" s="2"/>
      <c r="C48" s="2"/>
      <c r="D48" s="2"/>
      <c r="E48" s="2"/>
      <c r="F48" s="2"/>
      <c r="G48" s="2"/>
      <c r="H48" s="2"/>
      <c r="I48" s="2"/>
    </row>
    <row r="49" spans="1:9">
      <c r="A49" s="3"/>
      <c r="B49" s="3"/>
      <c r="C49" s="3"/>
      <c r="D49" s="3"/>
      <c r="E49" s="3"/>
      <c r="F49" s="3"/>
      <c r="G49" s="3"/>
      <c r="H49" s="3"/>
      <c r="I49" s="3"/>
    </row>
    <row r="51" spans="1:4">
      <c r="A51" s="4" t="s">
        <v>179</v>
      </c>
      <c r="B51" s="4"/>
      <c r="C51" s="5" t="str">
        <f>'DATA SISWA'!B10</f>
        <v>IZQIAN ARSALAN KUSUMA</v>
      </c>
      <c r="D51" s="5"/>
    </row>
    <row r="52" spans="1:4">
      <c r="A52" s="4" t="s">
        <v>113</v>
      </c>
      <c r="B52" s="4"/>
      <c r="C52" s="6" t="s">
        <v>3</v>
      </c>
      <c r="D52" s="6"/>
    </row>
    <row r="54" ht="16.5" spans="1:9">
      <c r="A54" s="7" t="s">
        <v>83</v>
      </c>
      <c r="B54" s="7" t="s">
        <v>253</v>
      </c>
      <c r="C54" s="8" t="s">
        <v>180</v>
      </c>
      <c r="D54" s="7" t="s">
        <v>117</v>
      </c>
      <c r="F54" s="9" t="s">
        <v>83</v>
      </c>
      <c r="G54" s="9" t="s">
        <v>253</v>
      </c>
      <c r="H54" s="9" t="s">
        <v>180</v>
      </c>
      <c r="I54" s="61" t="s">
        <v>117</v>
      </c>
    </row>
    <row r="55" spans="1:9">
      <c r="A55" s="10">
        <v>1</v>
      </c>
      <c r="B55" s="11" t="s">
        <v>254</v>
      </c>
      <c r="C55" s="12">
        <v>1</v>
      </c>
      <c r="D55" s="13"/>
      <c r="F55" s="14">
        <v>21</v>
      </c>
      <c r="G55" s="15" t="s">
        <v>255</v>
      </c>
      <c r="H55" s="21" t="s">
        <v>256</v>
      </c>
      <c r="I55" s="62" t="s">
        <v>108</v>
      </c>
    </row>
    <row r="56" ht="16.5" spans="1:9">
      <c r="A56" s="10">
        <v>2</v>
      </c>
      <c r="B56" s="11" t="s">
        <v>257</v>
      </c>
      <c r="C56" s="17"/>
      <c r="D56" s="11"/>
      <c r="F56" s="18">
        <v>22</v>
      </c>
      <c r="G56" s="19" t="s">
        <v>258</v>
      </c>
      <c r="H56" s="25"/>
      <c r="I56" s="63" t="s">
        <v>108</v>
      </c>
    </row>
    <row r="57" spans="1:9">
      <c r="A57" s="10">
        <v>3</v>
      </c>
      <c r="B57" s="11" t="s">
        <v>259</v>
      </c>
      <c r="C57" s="17"/>
      <c r="D57" s="11"/>
      <c r="F57" s="14">
        <v>23</v>
      </c>
      <c r="G57" s="15" t="s">
        <v>260</v>
      </c>
      <c r="H57" s="21" t="s">
        <v>261</v>
      </c>
      <c r="I57" s="62" t="s">
        <v>108</v>
      </c>
    </row>
    <row r="58" ht="16.5" spans="1:9">
      <c r="A58" s="22">
        <v>4</v>
      </c>
      <c r="B58" s="23" t="s">
        <v>262</v>
      </c>
      <c r="C58" s="24"/>
      <c r="D58" s="23"/>
      <c r="F58" s="18">
        <v>24</v>
      </c>
      <c r="G58" s="19" t="s">
        <v>263</v>
      </c>
      <c r="H58" s="25"/>
      <c r="I58" s="63" t="s">
        <v>108</v>
      </c>
    </row>
    <row r="59" spans="1:9">
      <c r="A59" s="26">
        <v>5</v>
      </c>
      <c r="B59" s="27" t="s">
        <v>264</v>
      </c>
      <c r="C59" s="28">
        <v>2</v>
      </c>
      <c r="D59" s="13"/>
      <c r="F59" s="14">
        <v>25</v>
      </c>
      <c r="G59" s="15" t="s">
        <v>265</v>
      </c>
      <c r="H59" s="55" t="s">
        <v>266</v>
      </c>
      <c r="I59" s="62" t="s">
        <v>108</v>
      </c>
    </row>
    <row r="60" ht="16.5" spans="1:9">
      <c r="A60" s="26">
        <v>6</v>
      </c>
      <c r="B60" s="27" t="s">
        <v>267</v>
      </c>
      <c r="C60" s="30"/>
      <c r="D60" s="11"/>
      <c r="F60" s="18">
        <v>26</v>
      </c>
      <c r="G60" s="19" t="s">
        <v>268</v>
      </c>
      <c r="H60" s="56"/>
      <c r="I60" s="63" t="s">
        <v>108</v>
      </c>
    </row>
    <row r="61" ht="16.5" spans="1:9">
      <c r="A61" s="18">
        <v>7</v>
      </c>
      <c r="B61" s="19" t="s">
        <v>269</v>
      </c>
      <c r="C61" s="32"/>
      <c r="D61" s="23"/>
      <c r="F61" s="14">
        <v>27</v>
      </c>
      <c r="G61" s="15" t="s">
        <v>270</v>
      </c>
      <c r="H61" s="55" t="s">
        <v>271</v>
      </c>
      <c r="I61" s="62" t="s">
        <v>108</v>
      </c>
    </row>
    <row r="62" ht="16.5" spans="1:9">
      <c r="A62" s="14">
        <v>8</v>
      </c>
      <c r="B62" s="15" t="s">
        <v>272</v>
      </c>
      <c r="C62" s="28">
        <v>3</v>
      </c>
      <c r="D62" s="13"/>
      <c r="F62" s="18">
        <v>28</v>
      </c>
      <c r="G62" s="19" t="s">
        <v>273</v>
      </c>
      <c r="H62" s="56"/>
      <c r="I62" s="64"/>
    </row>
    <row r="63" spans="1:9">
      <c r="A63" s="26">
        <v>9</v>
      </c>
      <c r="B63" s="27" t="s">
        <v>274</v>
      </c>
      <c r="C63" s="30"/>
      <c r="D63" s="11"/>
      <c r="F63" s="14">
        <v>29</v>
      </c>
      <c r="G63" s="15" t="s">
        <v>275</v>
      </c>
      <c r="H63" s="55" t="s">
        <v>276</v>
      </c>
      <c r="I63" s="65"/>
    </row>
    <row r="64" ht="16.5" spans="1:9">
      <c r="A64" s="18">
        <v>10</v>
      </c>
      <c r="B64" s="19" t="s">
        <v>277</v>
      </c>
      <c r="C64" s="32"/>
      <c r="D64" s="23"/>
      <c r="F64" s="26">
        <v>30</v>
      </c>
      <c r="G64" s="27" t="s">
        <v>278</v>
      </c>
      <c r="H64" s="57"/>
      <c r="I64" s="66"/>
    </row>
    <row r="65" spans="1:9">
      <c r="A65" s="14">
        <v>11</v>
      </c>
      <c r="B65" s="15" t="s">
        <v>279</v>
      </c>
      <c r="C65" s="28">
        <v>4</v>
      </c>
      <c r="D65" s="35"/>
      <c r="F65" s="26">
        <v>31</v>
      </c>
      <c r="G65" s="27" t="s">
        <v>280</v>
      </c>
      <c r="H65" s="57"/>
      <c r="I65" s="66"/>
    </row>
    <row r="66" spans="1:9">
      <c r="A66" s="26">
        <v>12</v>
      </c>
      <c r="B66" s="27" t="s">
        <v>281</v>
      </c>
      <c r="C66" s="30"/>
      <c r="D66" s="10"/>
      <c r="F66" s="26">
        <v>32</v>
      </c>
      <c r="G66" s="27" t="s">
        <v>282</v>
      </c>
      <c r="H66" s="57"/>
      <c r="I66" s="66"/>
    </row>
    <row r="67" ht="16.5" spans="1:9">
      <c r="A67" s="18">
        <v>13</v>
      </c>
      <c r="B67" s="19" t="s">
        <v>283</v>
      </c>
      <c r="C67" s="32"/>
      <c r="D67" s="22"/>
      <c r="F67" s="26">
        <v>33</v>
      </c>
      <c r="G67" s="27" t="s">
        <v>284</v>
      </c>
      <c r="H67" s="57"/>
      <c r="I67" s="66"/>
    </row>
    <row r="68" spans="1:9">
      <c r="A68" s="14">
        <v>14</v>
      </c>
      <c r="B68" s="15" t="s">
        <v>285</v>
      </c>
      <c r="C68" s="28">
        <v>5</v>
      </c>
      <c r="D68" s="35"/>
      <c r="F68" s="26">
        <v>34</v>
      </c>
      <c r="G68" s="27" t="s">
        <v>286</v>
      </c>
      <c r="H68" s="57"/>
      <c r="I68" s="66"/>
    </row>
    <row r="69" ht="16.5" spans="1:9">
      <c r="A69" s="18">
        <v>15</v>
      </c>
      <c r="B69" s="19" t="s">
        <v>287</v>
      </c>
      <c r="C69" s="32"/>
      <c r="D69" s="22"/>
      <c r="F69" s="26">
        <v>35</v>
      </c>
      <c r="G69" s="362" t="s">
        <v>288</v>
      </c>
      <c r="H69" s="57"/>
      <c r="I69" s="66"/>
    </row>
    <row r="70" spans="1:9">
      <c r="A70" s="14">
        <v>16</v>
      </c>
      <c r="B70" s="15" t="s">
        <v>289</v>
      </c>
      <c r="C70" s="28">
        <v>6</v>
      </c>
      <c r="D70" s="35"/>
      <c r="F70" s="26">
        <v>36</v>
      </c>
      <c r="G70" s="27" t="s">
        <v>290</v>
      </c>
      <c r="H70" s="57"/>
      <c r="I70" s="66"/>
    </row>
    <row r="71" ht="16.5" spans="1:9">
      <c r="A71" s="18">
        <v>17</v>
      </c>
      <c r="B71" s="19" t="s">
        <v>291</v>
      </c>
      <c r="C71" s="32"/>
      <c r="D71" s="22"/>
      <c r="F71" s="18">
        <v>37</v>
      </c>
      <c r="G71" s="19" t="s">
        <v>292</v>
      </c>
      <c r="H71" s="56"/>
      <c r="I71" s="64"/>
    </row>
    <row r="72" spans="1:9">
      <c r="A72" s="14">
        <v>18</v>
      </c>
      <c r="B72" s="15" t="s">
        <v>293</v>
      </c>
      <c r="C72" s="28" t="s">
        <v>220</v>
      </c>
      <c r="D72" s="35"/>
      <c r="F72" s="26">
        <v>1</v>
      </c>
      <c r="G72" s="27" t="s">
        <v>294</v>
      </c>
      <c r="H72" s="57" t="s">
        <v>295</v>
      </c>
      <c r="I72" s="67"/>
    </row>
    <row r="73" ht="16.5" spans="1:9">
      <c r="A73" s="18">
        <v>19</v>
      </c>
      <c r="B73" s="19" t="s">
        <v>296</v>
      </c>
      <c r="C73" s="32"/>
      <c r="D73" s="22"/>
      <c r="F73" s="18">
        <v>2</v>
      </c>
      <c r="G73" s="19" t="s">
        <v>297</v>
      </c>
      <c r="H73" s="56"/>
      <c r="I73" s="64"/>
    </row>
    <row r="74" ht="32.25" spans="1:4">
      <c r="A74" s="37">
        <v>20</v>
      </c>
      <c r="B74" s="38" t="s">
        <v>298</v>
      </c>
      <c r="C74" s="39" t="s">
        <v>256</v>
      </c>
      <c r="D74" s="37" t="s">
        <v>108</v>
      </c>
    </row>
    <row r="76" ht="16.5" spans="1:4">
      <c r="A76" s="40" t="s">
        <v>83</v>
      </c>
      <c r="B76" s="41" t="s">
        <v>299</v>
      </c>
      <c r="C76" s="41" t="s">
        <v>300</v>
      </c>
      <c r="D76" s="42" t="s">
        <v>118</v>
      </c>
    </row>
    <row r="77" spans="1:4">
      <c r="A77" s="43">
        <v>1</v>
      </c>
      <c r="B77" s="44" t="s">
        <v>301</v>
      </c>
      <c r="C77" s="44" t="s">
        <v>108</v>
      </c>
      <c r="D77" s="45" t="s">
        <v>302</v>
      </c>
    </row>
    <row r="78" spans="1:4">
      <c r="A78" s="46">
        <v>2</v>
      </c>
      <c r="B78" s="47" t="s">
        <v>303</v>
      </c>
      <c r="C78" s="47" t="s">
        <v>130</v>
      </c>
      <c r="D78" s="48" t="s">
        <v>304</v>
      </c>
    </row>
    <row r="79" ht="16.5" spans="1:4">
      <c r="A79" s="49">
        <v>3</v>
      </c>
      <c r="B79" s="50" t="s">
        <v>305</v>
      </c>
      <c r="C79" s="50" t="s">
        <v>126</v>
      </c>
      <c r="D79" s="51" t="s">
        <v>306</v>
      </c>
    </row>
    <row r="81" spans="1:8">
      <c r="A81" s="1" t="s">
        <v>307</v>
      </c>
      <c r="H81" s="1" t="s">
        <v>138</v>
      </c>
    </row>
    <row r="82" spans="1:8">
      <c r="A82" s="1" t="s">
        <v>308</v>
      </c>
      <c r="E82" s="52" t="s">
        <v>309</v>
      </c>
      <c r="F82" s="52"/>
      <c r="H82" s="1" t="s">
        <v>310</v>
      </c>
    </row>
    <row r="85" spans="1:8">
      <c r="A85" s="53" t="s">
        <v>311</v>
      </c>
      <c r="E85" s="53" t="str">
        <f>'DATA SISWA'!M10</f>
        <v>EFRI DIAN KUSUMA</v>
      </c>
      <c r="F85" s="53"/>
      <c r="H85" s="53" t="s">
        <v>241</v>
      </c>
    </row>
    <row r="86" spans="1:8">
      <c r="A86" s="6" t="s">
        <v>145</v>
      </c>
      <c r="H86" s="6" t="s">
        <v>242</v>
      </c>
    </row>
    <row r="91" spans="1:9">
      <c r="A91" s="2" t="s">
        <v>178</v>
      </c>
      <c r="B91" s="2"/>
      <c r="C91" s="2"/>
      <c r="D91" s="2"/>
      <c r="E91" s="2"/>
      <c r="F91" s="2"/>
      <c r="G91" s="2"/>
      <c r="H91" s="2"/>
      <c r="I91" s="2"/>
    </row>
    <row r="92" spans="1:9">
      <c r="A92" s="2"/>
      <c r="B92" s="2"/>
      <c r="C92" s="2"/>
      <c r="D92" s="2"/>
      <c r="E92" s="2"/>
      <c r="F92" s="2"/>
      <c r="G92" s="2"/>
      <c r="H92" s="2"/>
      <c r="I92" s="2"/>
    </row>
    <row r="93" spans="1:9">
      <c r="A93" s="2"/>
      <c r="B93" s="2"/>
      <c r="C93" s="2"/>
      <c r="D93" s="2"/>
      <c r="E93" s="2"/>
      <c r="F93" s="2"/>
      <c r="G93" s="2"/>
      <c r="H93" s="2"/>
      <c r="I93" s="2"/>
    </row>
    <row r="94" spans="1:9">
      <c r="A94" s="3"/>
      <c r="B94" s="3"/>
      <c r="C94" s="3"/>
      <c r="D94" s="3"/>
      <c r="E94" s="3"/>
      <c r="F94" s="3"/>
      <c r="G94" s="3"/>
      <c r="H94" s="3"/>
      <c r="I94" s="3"/>
    </row>
    <row r="96" spans="1:4">
      <c r="A96" s="4" t="s">
        <v>179</v>
      </c>
      <c r="B96" s="4"/>
      <c r="C96" s="5" t="str">
        <f>'DATA SISWA'!B11</f>
        <v>MUHAMAD RISQI</v>
      </c>
      <c r="D96" s="5"/>
    </row>
    <row r="97" spans="1:4">
      <c r="A97" s="4" t="s">
        <v>113</v>
      </c>
      <c r="B97" s="4"/>
      <c r="C97" s="6" t="s">
        <v>3</v>
      </c>
      <c r="D97" s="6"/>
    </row>
    <row r="99" ht="16.5" spans="1:9">
      <c r="A99" s="7" t="s">
        <v>83</v>
      </c>
      <c r="B99" s="7" t="s">
        <v>253</v>
      </c>
      <c r="C99" s="8" t="s">
        <v>180</v>
      </c>
      <c r="D99" s="7" t="s">
        <v>117</v>
      </c>
      <c r="F99" s="9" t="s">
        <v>83</v>
      </c>
      <c r="G99" s="9" t="s">
        <v>253</v>
      </c>
      <c r="H99" s="9" t="s">
        <v>180</v>
      </c>
      <c r="I99" s="61" t="s">
        <v>117</v>
      </c>
    </row>
    <row r="100" spans="1:9">
      <c r="A100" s="10">
        <v>1</v>
      </c>
      <c r="B100" s="11" t="s">
        <v>254</v>
      </c>
      <c r="C100" s="12">
        <v>1</v>
      </c>
      <c r="D100" s="13"/>
      <c r="F100" s="14">
        <v>21</v>
      </c>
      <c r="G100" s="15" t="s">
        <v>255</v>
      </c>
      <c r="H100" s="21" t="s">
        <v>256</v>
      </c>
      <c r="I100" s="62" t="s">
        <v>108</v>
      </c>
    </row>
    <row r="101" ht="16.5" spans="1:9">
      <c r="A101" s="10">
        <v>2</v>
      </c>
      <c r="B101" s="11" t="s">
        <v>257</v>
      </c>
      <c r="C101" s="17"/>
      <c r="D101" s="11"/>
      <c r="F101" s="18">
        <v>22</v>
      </c>
      <c r="G101" s="19" t="s">
        <v>258</v>
      </c>
      <c r="H101" s="25"/>
      <c r="I101" s="63" t="s">
        <v>108</v>
      </c>
    </row>
    <row r="102" spans="1:9">
      <c r="A102" s="10">
        <v>3</v>
      </c>
      <c r="B102" s="11" t="s">
        <v>259</v>
      </c>
      <c r="C102" s="17"/>
      <c r="D102" s="11"/>
      <c r="F102" s="14">
        <v>23</v>
      </c>
      <c r="G102" s="15" t="s">
        <v>260</v>
      </c>
      <c r="H102" s="21" t="s">
        <v>261</v>
      </c>
      <c r="I102" s="62" t="s">
        <v>108</v>
      </c>
    </row>
    <row r="103" ht="16.5" spans="1:9">
      <c r="A103" s="22">
        <v>4</v>
      </c>
      <c r="B103" s="23" t="s">
        <v>262</v>
      </c>
      <c r="C103" s="24"/>
      <c r="D103" s="23"/>
      <c r="F103" s="18">
        <v>24</v>
      </c>
      <c r="G103" s="19" t="s">
        <v>263</v>
      </c>
      <c r="H103" s="25"/>
      <c r="I103" s="63" t="s">
        <v>108</v>
      </c>
    </row>
    <row r="104" spans="1:9">
      <c r="A104" s="26">
        <v>5</v>
      </c>
      <c r="B104" s="27" t="s">
        <v>264</v>
      </c>
      <c r="C104" s="28">
        <v>2</v>
      </c>
      <c r="D104" s="13"/>
      <c r="F104" s="14">
        <v>25</v>
      </c>
      <c r="G104" s="15" t="s">
        <v>265</v>
      </c>
      <c r="H104" s="55" t="s">
        <v>266</v>
      </c>
      <c r="I104" s="62" t="s">
        <v>130</v>
      </c>
    </row>
    <row r="105" ht="16.5" spans="1:9">
      <c r="A105" s="26">
        <v>6</v>
      </c>
      <c r="B105" s="27" t="s">
        <v>267</v>
      </c>
      <c r="C105" s="30"/>
      <c r="D105" s="11"/>
      <c r="F105" s="18">
        <v>26</v>
      </c>
      <c r="G105" s="19" t="s">
        <v>268</v>
      </c>
      <c r="H105" s="56"/>
      <c r="I105" s="63" t="s">
        <v>130</v>
      </c>
    </row>
    <row r="106" ht="16.5" spans="1:9">
      <c r="A106" s="18">
        <v>7</v>
      </c>
      <c r="B106" s="19" t="s">
        <v>269</v>
      </c>
      <c r="C106" s="32"/>
      <c r="D106" s="23"/>
      <c r="F106" s="14">
        <v>27</v>
      </c>
      <c r="G106" s="15" t="s">
        <v>270</v>
      </c>
      <c r="H106" s="55" t="s">
        <v>271</v>
      </c>
      <c r="I106" s="62" t="s">
        <v>130</v>
      </c>
    </row>
    <row r="107" ht="16.5" spans="1:9">
      <c r="A107" s="14">
        <v>8</v>
      </c>
      <c r="B107" s="15" t="s">
        <v>272</v>
      </c>
      <c r="C107" s="28">
        <v>3</v>
      </c>
      <c r="D107" s="13"/>
      <c r="F107" s="18">
        <v>28</v>
      </c>
      <c r="G107" s="19" t="s">
        <v>273</v>
      </c>
      <c r="H107" s="56"/>
      <c r="I107" s="64"/>
    </row>
    <row r="108" spans="1:9">
      <c r="A108" s="26">
        <v>9</v>
      </c>
      <c r="B108" s="27" t="s">
        <v>274</v>
      </c>
      <c r="C108" s="30"/>
      <c r="D108" s="11"/>
      <c r="F108" s="14">
        <v>29</v>
      </c>
      <c r="G108" s="15" t="s">
        <v>275</v>
      </c>
      <c r="H108" s="55" t="s">
        <v>276</v>
      </c>
      <c r="I108" s="65"/>
    </row>
    <row r="109" ht="16.5" spans="1:9">
      <c r="A109" s="18">
        <v>10</v>
      </c>
      <c r="B109" s="19" t="s">
        <v>277</v>
      </c>
      <c r="C109" s="32"/>
      <c r="D109" s="23"/>
      <c r="F109" s="26">
        <v>30</v>
      </c>
      <c r="G109" s="27" t="s">
        <v>278</v>
      </c>
      <c r="H109" s="57"/>
      <c r="I109" s="66"/>
    </row>
    <row r="110" spans="1:9">
      <c r="A110" s="14">
        <v>11</v>
      </c>
      <c r="B110" s="15" t="s">
        <v>279</v>
      </c>
      <c r="C110" s="28">
        <v>4</v>
      </c>
      <c r="D110" s="35"/>
      <c r="F110" s="26">
        <v>31</v>
      </c>
      <c r="G110" s="27" t="s">
        <v>280</v>
      </c>
      <c r="H110" s="57"/>
      <c r="I110" s="66"/>
    </row>
    <row r="111" spans="1:9">
      <c r="A111" s="26">
        <v>12</v>
      </c>
      <c r="B111" s="27" t="s">
        <v>281</v>
      </c>
      <c r="C111" s="30"/>
      <c r="D111" s="10"/>
      <c r="F111" s="26">
        <v>32</v>
      </c>
      <c r="G111" s="27" t="s">
        <v>282</v>
      </c>
      <c r="H111" s="57"/>
      <c r="I111" s="66"/>
    </row>
    <row r="112" ht="16.5" spans="1:9">
      <c r="A112" s="18">
        <v>13</v>
      </c>
      <c r="B112" s="19" t="s">
        <v>283</v>
      </c>
      <c r="C112" s="32"/>
      <c r="D112" s="22"/>
      <c r="F112" s="26">
        <v>33</v>
      </c>
      <c r="G112" s="27" t="s">
        <v>284</v>
      </c>
      <c r="H112" s="57"/>
      <c r="I112" s="66"/>
    </row>
    <row r="113" spans="1:9">
      <c r="A113" s="14">
        <v>14</v>
      </c>
      <c r="B113" s="15" t="s">
        <v>285</v>
      </c>
      <c r="C113" s="28">
        <v>5</v>
      </c>
      <c r="D113" s="35"/>
      <c r="F113" s="26">
        <v>34</v>
      </c>
      <c r="G113" s="27" t="s">
        <v>286</v>
      </c>
      <c r="H113" s="57"/>
      <c r="I113" s="66"/>
    </row>
    <row r="114" ht="16.5" spans="1:9">
      <c r="A114" s="18">
        <v>15</v>
      </c>
      <c r="B114" s="19" t="s">
        <v>287</v>
      </c>
      <c r="C114" s="32"/>
      <c r="D114" s="22"/>
      <c r="F114" s="26">
        <v>35</v>
      </c>
      <c r="G114" s="362" t="s">
        <v>288</v>
      </c>
      <c r="H114" s="57"/>
      <c r="I114" s="66"/>
    </row>
    <row r="115" spans="1:9">
      <c r="A115" s="14">
        <v>16</v>
      </c>
      <c r="B115" s="15" t="s">
        <v>289</v>
      </c>
      <c r="C115" s="28">
        <v>6</v>
      </c>
      <c r="D115" s="35"/>
      <c r="F115" s="26">
        <v>36</v>
      </c>
      <c r="G115" s="27" t="s">
        <v>290</v>
      </c>
      <c r="H115" s="57"/>
      <c r="I115" s="66"/>
    </row>
    <row r="116" ht="16.5" spans="1:9">
      <c r="A116" s="18">
        <v>17</v>
      </c>
      <c r="B116" s="19" t="s">
        <v>291</v>
      </c>
      <c r="C116" s="32"/>
      <c r="D116" s="22"/>
      <c r="F116" s="18">
        <v>37</v>
      </c>
      <c r="G116" s="19" t="s">
        <v>292</v>
      </c>
      <c r="H116" s="56"/>
      <c r="I116" s="64"/>
    </row>
    <row r="117" spans="1:9">
      <c r="A117" s="14">
        <v>18</v>
      </c>
      <c r="B117" s="15" t="s">
        <v>293</v>
      </c>
      <c r="C117" s="28" t="s">
        <v>220</v>
      </c>
      <c r="D117" s="35"/>
      <c r="F117" s="26">
        <v>1</v>
      </c>
      <c r="G117" s="27" t="s">
        <v>294</v>
      </c>
      <c r="H117" s="57" t="s">
        <v>295</v>
      </c>
      <c r="I117" s="67"/>
    </row>
    <row r="118" ht="16.5" spans="1:9">
      <c r="A118" s="18">
        <v>19</v>
      </c>
      <c r="B118" s="19" t="s">
        <v>296</v>
      </c>
      <c r="C118" s="32"/>
      <c r="D118" s="22"/>
      <c r="F118" s="18">
        <v>2</v>
      </c>
      <c r="G118" s="19" t="s">
        <v>297</v>
      </c>
      <c r="H118" s="56"/>
      <c r="I118" s="64"/>
    </row>
    <row r="119" ht="32.25" spans="1:4">
      <c r="A119" s="37">
        <v>20</v>
      </c>
      <c r="B119" s="38" t="s">
        <v>298</v>
      </c>
      <c r="C119" s="39" t="s">
        <v>256</v>
      </c>
      <c r="D119" s="37" t="s">
        <v>108</v>
      </c>
    </row>
    <row r="121" ht="16.5" spans="1:4">
      <c r="A121" s="40" t="s">
        <v>83</v>
      </c>
      <c r="B121" s="41" t="s">
        <v>299</v>
      </c>
      <c r="C121" s="41" t="s">
        <v>300</v>
      </c>
      <c r="D121" s="42" t="s">
        <v>118</v>
      </c>
    </row>
    <row r="122" spans="1:4">
      <c r="A122" s="43">
        <v>1</v>
      </c>
      <c r="B122" s="44" t="s">
        <v>301</v>
      </c>
      <c r="C122" s="44" t="s">
        <v>108</v>
      </c>
      <c r="D122" s="45" t="s">
        <v>302</v>
      </c>
    </row>
    <row r="123" spans="1:4">
      <c r="A123" s="46">
        <v>2</v>
      </c>
      <c r="B123" s="47" t="s">
        <v>303</v>
      </c>
      <c r="C123" s="47" t="s">
        <v>130</v>
      </c>
      <c r="D123" s="48" t="s">
        <v>304</v>
      </c>
    </row>
    <row r="124" ht="16.5" spans="1:4">
      <c r="A124" s="49">
        <v>3</v>
      </c>
      <c r="B124" s="50" t="s">
        <v>305</v>
      </c>
      <c r="C124" s="50" t="s">
        <v>126</v>
      </c>
      <c r="D124" s="51" t="s">
        <v>306</v>
      </c>
    </row>
    <row r="126" spans="1:8">
      <c r="A126" s="1" t="s">
        <v>307</v>
      </c>
      <c r="H126" s="1" t="s">
        <v>138</v>
      </c>
    </row>
    <row r="127" spans="1:8">
      <c r="A127" s="1" t="s">
        <v>308</v>
      </c>
      <c r="E127" s="52" t="s">
        <v>309</v>
      </c>
      <c r="F127" s="52"/>
      <c r="H127" s="1" t="s">
        <v>310</v>
      </c>
    </row>
    <row r="130" spans="1:8">
      <c r="A130" s="53" t="s">
        <v>311</v>
      </c>
      <c r="E130" s="54" t="str">
        <f>'DATA SISWA'!M11</f>
        <v>ADI YULIANTO</v>
      </c>
      <c r="F130" s="54"/>
      <c r="H130" s="53" t="s">
        <v>241</v>
      </c>
    </row>
    <row r="131" spans="1:8">
      <c r="A131" s="6" t="s">
        <v>145</v>
      </c>
      <c r="H131" s="6" t="s">
        <v>242</v>
      </c>
    </row>
    <row r="136" spans="1:9">
      <c r="A136" s="2" t="s">
        <v>178</v>
      </c>
      <c r="B136" s="2"/>
      <c r="C136" s="2"/>
      <c r="D136" s="2"/>
      <c r="E136" s="2"/>
      <c r="F136" s="2"/>
      <c r="G136" s="2"/>
      <c r="H136" s="2"/>
      <c r="I136" s="2"/>
    </row>
    <row r="137" spans="1:9">
      <c r="A137" s="2"/>
      <c r="B137" s="2"/>
      <c r="C137" s="2"/>
      <c r="D137" s="2"/>
      <c r="E137" s="2"/>
      <c r="F137" s="2"/>
      <c r="G137" s="2"/>
      <c r="H137" s="2"/>
      <c r="I137" s="2"/>
    </row>
    <row r="138" spans="1:9">
      <c r="A138" s="2"/>
      <c r="B138" s="2"/>
      <c r="C138" s="2"/>
      <c r="D138" s="2"/>
      <c r="E138" s="2"/>
      <c r="F138" s="2"/>
      <c r="G138" s="2"/>
      <c r="H138" s="2"/>
      <c r="I138" s="2"/>
    </row>
    <row r="139" spans="1:9">
      <c r="A139" s="3"/>
      <c r="B139" s="3"/>
      <c r="C139" s="3"/>
      <c r="D139" s="3"/>
      <c r="E139" s="3"/>
      <c r="F139" s="3"/>
      <c r="G139" s="3"/>
      <c r="H139" s="3"/>
      <c r="I139" s="3"/>
    </row>
    <row r="141" spans="1:4">
      <c r="A141" s="4" t="s">
        <v>179</v>
      </c>
      <c r="B141" s="4"/>
      <c r="C141" s="6" t="str">
        <f>'DATA SISWA'!B12</f>
        <v>MUHAMMAD IBRAHIM ABDULLAH</v>
      </c>
      <c r="D141" s="6"/>
    </row>
    <row r="142" spans="1:4">
      <c r="A142" s="4" t="s">
        <v>113</v>
      </c>
      <c r="B142" s="4"/>
      <c r="C142" s="6" t="s">
        <v>3</v>
      </c>
      <c r="D142" s="6"/>
    </row>
    <row r="144" ht="16.5" spans="1:9">
      <c r="A144" s="7" t="s">
        <v>83</v>
      </c>
      <c r="B144" s="7" t="s">
        <v>253</v>
      </c>
      <c r="C144" s="8" t="s">
        <v>180</v>
      </c>
      <c r="D144" s="7" t="s">
        <v>117</v>
      </c>
      <c r="F144" s="9" t="s">
        <v>83</v>
      </c>
      <c r="G144" s="9" t="s">
        <v>253</v>
      </c>
      <c r="H144" s="9" t="s">
        <v>180</v>
      </c>
      <c r="I144" s="61" t="s">
        <v>117</v>
      </c>
    </row>
    <row r="145" spans="1:9">
      <c r="A145" s="10">
        <v>1</v>
      </c>
      <c r="B145" s="11" t="s">
        <v>254</v>
      </c>
      <c r="C145" s="12">
        <v>1</v>
      </c>
      <c r="D145" s="13"/>
      <c r="F145" s="14">
        <v>21</v>
      </c>
      <c r="G145" s="15" t="s">
        <v>255</v>
      </c>
      <c r="H145" s="21" t="s">
        <v>256</v>
      </c>
      <c r="I145" s="62" t="s">
        <v>108</v>
      </c>
    </row>
    <row r="146" ht="16.5" spans="1:9">
      <c r="A146" s="10">
        <v>2</v>
      </c>
      <c r="B146" s="11" t="s">
        <v>257</v>
      </c>
      <c r="C146" s="17"/>
      <c r="D146" s="11"/>
      <c r="F146" s="18">
        <v>22</v>
      </c>
      <c r="G146" s="19" t="s">
        <v>258</v>
      </c>
      <c r="H146" s="25"/>
      <c r="I146" s="63" t="s">
        <v>108</v>
      </c>
    </row>
    <row r="147" spans="1:9">
      <c r="A147" s="10">
        <v>3</v>
      </c>
      <c r="B147" s="11" t="s">
        <v>259</v>
      </c>
      <c r="C147" s="17"/>
      <c r="D147" s="11"/>
      <c r="F147" s="14">
        <v>23</v>
      </c>
      <c r="G147" s="15" t="s">
        <v>260</v>
      </c>
      <c r="H147" s="21" t="s">
        <v>261</v>
      </c>
      <c r="I147" s="62" t="s">
        <v>108</v>
      </c>
    </row>
    <row r="148" ht="16.5" spans="1:9">
      <c r="A148" s="22">
        <v>4</v>
      </c>
      <c r="B148" s="23" t="s">
        <v>262</v>
      </c>
      <c r="C148" s="24"/>
      <c r="D148" s="23"/>
      <c r="F148" s="18">
        <v>24</v>
      </c>
      <c r="G148" s="19" t="s">
        <v>263</v>
      </c>
      <c r="H148" s="25"/>
      <c r="I148" s="63" t="s">
        <v>108</v>
      </c>
    </row>
    <row r="149" spans="1:9">
      <c r="A149" s="26">
        <v>5</v>
      </c>
      <c r="B149" s="27" t="s">
        <v>264</v>
      </c>
      <c r="C149" s="28">
        <v>2</v>
      </c>
      <c r="D149" s="13"/>
      <c r="F149" s="14">
        <v>25</v>
      </c>
      <c r="G149" s="15" t="s">
        <v>265</v>
      </c>
      <c r="H149" s="55" t="s">
        <v>266</v>
      </c>
      <c r="I149" s="62" t="s">
        <v>108</v>
      </c>
    </row>
    <row r="150" ht="16.5" spans="1:9">
      <c r="A150" s="26">
        <v>6</v>
      </c>
      <c r="B150" s="27" t="s">
        <v>267</v>
      </c>
      <c r="C150" s="30"/>
      <c r="D150" s="11"/>
      <c r="F150" s="18">
        <v>26</v>
      </c>
      <c r="G150" s="19" t="s">
        <v>268</v>
      </c>
      <c r="H150" s="56"/>
      <c r="I150" s="63" t="s">
        <v>130</v>
      </c>
    </row>
    <row r="151" ht="16.5" spans="1:9">
      <c r="A151" s="18">
        <v>7</v>
      </c>
      <c r="B151" s="19" t="s">
        <v>269</v>
      </c>
      <c r="C151" s="32"/>
      <c r="D151" s="23"/>
      <c r="F151" s="14">
        <v>27</v>
      </c>
      <c r="G151" s="15" t="s">
        <v>270</v>
      </c>
      <c r="H151" s="55" t="s">
        <v>271</v>
      </c>
      <c r="I151" s="62" t="s">
        <v>130</v>
      </c>
    </row>
    <row r="152" ht="16.5" spans="1:9">
      <c r="A152" s="14">
        <v>8</v>
      </c>
      <c r="B152" s="15" t="s">
        <v>272</v>
      </c>
      <c r="C152" s="28">
        <v>3</v>
      </c>
      <c r="D152" s="13"/>
      <c r="F152" s="18">
        <v>28</v>
      </c>
      <c r="G152" s="19" t="s">
        <v>273</v>
      </c>
      <c r="H152" s="56"/>
      <c r="I152" s="64"/>
    </row>
    <row r="153" spans="1:9">
      <c r="A153" s="26">
        <v>9</v>
      </c>
      <c r="B153" s="27" t="s">
        <v>274</v>
      </c>
      <c r="C153" s="30"/>
      <c r="D153" s="11"/>
      <c r="F153" s="14">
        <v>29</v>
      </c>
      <c r="G153" s="15" t="s">
        <v>275</v>
      </c>
      <c r="H153" s="55" t="s">
        <v>276</v>
      </c>
      <c r="I153" s="65"/>
    </row>
    <row r="154" ht="16.5" spans="1:9">
      <c r="A154" s="18">
        <v>10</v>
      </c>
      <c r="B154" s="19" t="s">
        <v>277</v>
      </c>
      <c r="C154" s="32"/>
      <c r="D154" s="23"/>
      <c r="F154" s="26">
        <v>30</v>
      </c>
      <c r="G154" s="27" t="s">
        <v>278</v>
      </c>
      <c r="H154" s="57"/>
      <c r="I154" s="66"/>
    </row>
    <row r="155" spans="1:9">
      <c r="A155" s="14">
        <v>11</v>
      </c>
      <c r="B155" s="15" t="s">
        <v>279</v>
      </c>
      <c r="C155" s="28">
        <v>4</v>
      </c>
      <c r="D155" s="35"/>
      <c r="F155" s="26">
        <v>31</v>
      </c>
      <c r="G155" s="27" t="s">
        <v>280</v>
      </c>
      <c r="H155" s="57"/>
      <c r="I155" s="66"/>
    </row>
    <row r="156" spans="1:9">
      <c r="A156" s="26">
        <v>12</v>
      </c>
      <c r="B156" s="27" t="s">
        <v>281</v>
      </c>
      <c r="C156" s="30"/>
      <c r="D156" s="10"/>
      <c r="F156" s="26">
        <v>32</v>
      </c>
      <c r="G156" s="27" t="s">
        <v>282</v>
      </c>
      <c r="H156" s="57"/>
      <c r="I156" s="66"/>
    </row>
    <row r="157" ht="16.5" spans="1:9">
      <c r="A157" s="18">
        <v>13</v>
      </c>
      <c r="B157" s="19" t="s">
        <v>283</v>
      </c>
      <c r="C157" s="32"/>
      <c r="D157" s="22"/>
      <c r="F157" s="26">
        <v>33</v>
      </c>
      <c r="G157" s="27" t="s">
        <v>284</v>
      </c>
      <c r="H157" s="57"/>
      <c r="I157" s="66"/>
    </row>
    <row r="158" spans="1:9">
      <c r="A158" s="14">
        <v>14</v>
      </c>
      <c r="B158" s="15" t="s">
        <v>285</v>
      </c>
      <c r="C158" s="28">
        <v>5</v>
      </c>
      <c r="D158" s="35"/>
      <c r="F158" s="26">
        <v>34</v>
      </c>
      <c r="G158" s="27" t="s">
        <v>286</v>
      </c>
      <c r="H158" s="57"/>
      <c r="I158" s="66"/>
    </row>
    <row r="159" ht="16.5" spans="1:9">
      <c r="A159" s="18">
        <v>15</v>
      </c>
      <c r="B159" s="19" t="s">
        <v>287</v>
      </c>
      <c r="C159" s="32"/>
      <c r="D159" s="22"/>
      <c r="F159" s="26">
        <v>35</v>
      </c>
      <c r="G159" s="362" t="s">
        <v>288</v>
      </c>
      <c r="H159" s="57"/>
      <c r="I159" s="66"/>
    </row>
    <row r="160" spans="1:9">
      <c r="A160" s="14">
        <v>16</v>
      </c>
      <c r="B160" s="15" t="s">
        <v>289</v>
      </c>
      <c r="C160" s="28">
        <v>6</v>
      </c>
      <c r="D160" s="35"/>
      <c r="F160" s="26">
        <v>36</v>
      </c>
      <c r="G160" s="27" t="s">
        <v>290</v>
      </c>
      <c r="H160" s="57"/>
      <c r="I160" s="66"/>
    </row>
    <row r="161" ht="16.5" spans="1:9">
      <c r="A161" s="18">
        <v>17</v>
      </c>
      <c r="B161" s="19" t="s">
        <v>291</v>
      </c>
      <c r="C161" s="32"/>
      <c r="D161" s="22"/>
      <c r="F161" s="18">
        <v>37</v>
      </c>
      <c r="G161" s="19" t="s">
        <v>292</v>
      </c>
      <c r="H161" s="56"/>
      <c r="I161" s="64"/>
    </row>
    <row r="162" spans="1:9">
      <c r="A162" s="14">
        <v>18</v>
      </c>
      <c r="B162" s="15" t="s">
        <v>293</v>
      </c>
      <c r="C162" s="28" t="s">
        <v>220</v>
      </c>
      <c r="D162" s="35"/>
      <c r="F162" s="26">
        <v>1</v>
      </c>
      <c r="G162" s="27" t="s">
        <v>294</v>
      </c>
      <c r="H162" s="57" t="s">
        <v>295</v>
      </c>
      <c r="I162" s="67"/>
    </row>
    <row r="163" ht="16.5" spans="1:9">
      <c r="A163" s="18">
        <v>19</v>
      </c>
      <c r="B163" s="19" t="s">
        <v>296</v>
      </c>
      <c r="C163" s="32"/>
      <c r="D163" s="22"/>
      <c r="F163" s="18">
        <v>2</v>
      </c>
      <c r="G163" s="19" t="s">
        <v>297</v>
      </c>
      <c r="H163" s="56"/>
      <c r="I163" s="64"/>
    </row>
    <row r="164" ht="32.25" spans="1:4">
      <c r="A164" s="37">
        <v>20</v>
      </c>
      <c r="B164" s="38" t="s">
        <v>298</v>
      </c>
      <c r="C164" s="39" t="s">
        <v>256</v>
      </c>
      <c r="D164" s="37" t="s">
        <v>108</v>
      </c>
    </row>
    <row r="166" ht="16.5" spans="1:4">
      <c r="A166" s="40" t="s">
        <v>83</v>
      </c>
      <c r="B166" s="41" t="s">
        <v>299</v>
      </c>
      <c r="C166" s="41" t="s">
        <v>300</v>
      </c>
      <c r="D166" s="42" t="s">
        <v>118</v>
      </c>
    </row>
    <row r="167" spans="1:4">
      <c r="A167" s="43">
        <v>1</v>
      </c>
      <c r="B167" s="44" t="s">
        <v>301</v>
      </c>
      <c r="C167" s="44" t="s">
        <v>108</v>
      </c>
      <c r="D167" s="45" t="s">
        <v>302</v>
      </c>
    </row>
    <row r="168" spans="1:4">
      <c r="A168" s="46">
        <v>2</v>
      </c>
      <c r="B168" s="47" t="s">
        <v>303</v>
      </c>
      <c r="C168" s="47" t="s">
        <v>130</v>
      </c>
      <c r="D168" s="48" t="s">
        <v>304</v>
      </c>
    </row>
    <row r="169" ht="16.5" spans="1:4">
      <c r="A169" s="49">
        <v>3</v>
      </c>
      <c r="B169" s="50" t="s">
        <v>305</v>
      </c>
      <c r="C169" s="50" t="s">
        <v>126</v>
      </c>
      <c r="D169" s="51" t="s">
        <v>306</v>
      </c>
    </row>
    <row r="171" spans="1:8">
      <c r="A171" s="1" t="s">
        <v>307</v>
      </c>
      <c r="H171" s="1" t="s">
        <v>138</v>
      </c>
    </row>
    <row r="172" spans="1:8">
      <c r="A172" s="1" t="s">
        <v>308</v>
      </c>
      <c r="E172" s="52" t="s">
        <v>309</v>
      </c>
      <c r="F172" s="52"/>
      <c r="H172" s="1" t="s">
        <v>310</v>
      </c>
    </row>
    <row r="175" spans="1:8">
      <c r="A175" s="53" t="s">
        <v>311</v>
      </c>
      <c r="E175" s="54" t="str">
        <f>'DATA SISWA'!M12</f>
        <v>FIRDAUS</v>
      </c>
      <c r="F175" s="54"/>
      <c r="H175" s="53" t="s">
        <v>241</v>
      </c>
    </row>
    <row r="176" spans="1:8">
      <c r="A176" s="6" t="s">
        <v>145</v>
      </c>
      <c r="H176" s="6" t="s">
        <v>242</v>
      </c>
    </row>
    <row r="181" spans="1:9">
      <c r="A181" s="2" t="s">
        <v>178</v>
      </c>
      <c r="B181" s="2"/>
      <c r="C181" s="2"/>
      <c r="D181" s="2"/>
      <c r="E181" s="2"/>
      <c r="F181" s="2"/>
      <c r="G181" s="2"/>
      <c r="H181" s="2"/>
      <c r="I181" s="2"/>
    </row>
    <row r="182" spans="1:9">
      <c r="A182" s="2"/>
      <c r="B182" s="2"/>
      <c r="C182" s="2"/>
      <c r="D182" s="2"/>
      <c r="E182" s="2"/>
      <c r="F182" s="2"/>
      <c r="G182" s="2"/>
      <c r="H182" s="2"/>
      <c r="I182" s="2"/>
    </row>
    <row r="183" spans="1:9">
      <c r="A183" s="2"/>
      <c r="B183" s="2"/>
      <c r="C183" s="2"/>
      <c r="D183" s="2"/>
      <c r="E183" s="2"/>
      <c r="F183" s="2"/>
      <c r="G183" s="2"/>
      <c r="H183" s="2"/>
      <c r="I183" s="2"/>
    </row>
    <row r="184" spans="1:9">
      <c r="A184" s="3"/>
      <c r="B184" s="3"/>
      <c r="C184" s="3"/>
      <c r="D184" s="3"/>
      <c r="E184" s="3"/>
      <c r="F184" s="3"/>
      <c r="G184" s="3"/>
      <c r="H184" s="3"/>
      <c r="I184" s="3"/>
    </row>
    <row r="186" spans="1:4">
      <c r="A186" s="4" t="s">
        <v>179</v>
      </c>
      <c r="B186" s="4"/>
      <c r="C186" s="6" t="str">
        <f>'DATA SISWA'!B13</f>
        <v>MUHAMMAD UWAIS AL QORNI ANDIEGA</v>
      </c>
      <c r="D186" s="6"/>
    </row>
    <row r="187" spans="1:4">
      <c r="A187" s="4" t="s">
        <v>113</v>
      </c>
      <c r="B187" s="4"/>
      <c r="C187" s="6" t="s">
        <v>3</v>
      </c>
      <c r="D187" s="6"/>
    </row>
    <row r="189" ht="16.5" spans="1:9">
      <c r="A189" s="7" t="s">
        <v>83</v>
      </c>
      <c r="B189" s="7" t="s">
        <v>253</v>
      </c>
      <c r="C189" s="8" t="s">
        <v>180</v>
      </c>
      <c r="D189" s="7" t="s">
        <v>117</v>
      </c>
      <c r="F189" s="9" t="s">
        <v>83</v>
      </c>
      <c r="G189" s="9" t="s">
        <v>253</v>
      </c>
      <c r="H189" s="9" t="s">
        <v>180</v>
      </c>
      <c r="I189" s="61" t="s">
        <v>117</v>
      </c>
    </row>
    <row r="190" spans="1:9">
      <c r="A190" s="10">
        <v>1</v>
      </c>
      <c r="B190" s="11" t="s">
        <v>254</v>
      </c>
      <c r="C190" s="12">
        <v>1</v>
      </c>
      <c r="D190" s="13"/>
      <c r="F190" s="14">
        <v>21</v>
      </c>
      <c r="G190" s="15" t="s">
        <v>255</v>
      </c>
      <c r="H190" s="21" t="s">
        <v>256</v>
      </c>
      <c r="I190" s="62" t="s">
        <v>130</v>
      </c>
    </row>
    <row r="191" ht="16.5" spans="1:9">
      <c r="A191" s="10">
        <v>2</v>
      </c>
      <c r="B191" s="11" t="s">
        <v>257</v>
      </c>
      <c r="C191" s="17"/>
      <c r="D191" s="11"/>
      <c r="F191" s="18">
        <v>22</v>
      </c>
      <c r="G191" s="19" t="s">
        <v>258</v>
      </c>
      <c r="H191" s="25"/>
      <c r="I191" s="63" t="s">
        <v>130</v>
      </c>
    </row>
    <row r="192" spans="1:9">
      <c r="A192" s="10">
        <v>3</v>
      </c>
      <c r="B192" s="11" t="s">
        <v>259</v>
      </c>
      <c r="C192" s="17"/>
      <c r="D192" s="11"/>
      <c r="F192" s="14">
        <v>23</v>
      </c>
      <c r="G192" s="15" t="s">
        <v>260</v>
      </c>
      <c r="H192" s="21" t="s">
        <v>261</v>
      </c>
      <c r="I192" s="62" t="s">
        <v>126</v>
      </c>
    </row>
    <row r="193" ht="16.5" spans="1:9">
      <c r="A193" s="22">
        <v>4</v>
      </c>
      <c r="B193" s="23" t="s">
        <v>262</v>
      </c>
      <c r="C193" s="24"/>
      <c r="D193" s="23"/>
      <c r="F193" s="18">
        <v>24</v>
      </c>
      <c r="G193" s="19" t="s">
        <v>263</v>
      </c>
      <c r="H193" s="25"/>
      <c r="I193" s="63" t="s">
        <v>130</v>
      </c>
    </row>
    <row r="194" spans="1:9">
      <c r="A194" s="26">
        <v>5</v>
      </c>
      <c r="B194" s="27" t="s">
        <v>264</v>
      </c>
      <c r="C194" s="28">
        <v>2</v>
      </c>
      <c r="D194" s="13"/>
      <c r="F194" s="14">
        <v>25</v>
      </c>
      <c r="G194" s="15" t="s">
        <v>265</v>
      </c>
      <c r="H194" s="55" t="s">
        <v>266</v>
      </c>
      <c r="I194" s="62" t="s">
        <v>130</v>
      </c>
    </row>
    <row r="195" ht="16.5" spans="1:9">
      <c r="A195" s="26">
        <v>6</v>
      </c>
      <c r="B195" s="27" t="s">
        <v>267</v>
      </c>
      <c r="C195" s="30"/>
      <c r="D195" s="11"/>
      <c r="F195" s="18">
        <v>26</v>
      </c>
      <c r="G195" s="19" t="s">
        <v>268</v>
      </c>
      <c r="H195" s="56"/>
      <c r="I195" s="63" t="s">
        <v>130</v>
      </c>
    </row>
    <row r="196" ht="16.5" spans="1:9">
      <c r="A196" s="18">
        <v>7</v>
      </c>
      <c r="B196" s="19" t="s">
        <v>269</v>
      </c>
      <c r="C196" s="32"/>
      <c r="D196" s="23"/>
      <c r="F196" s="14">
        <v>27</v>
      </c>
      <c r="G196" s="15" t="s">
        <v>270</v>
      </c>
      <c r="H196" s="55" t="s">
        <v>271</v>
      </c>
      <c r="I196" s="62" t="s">
        <v>130</v>
      </c>
    </row>
    <row r="197" ht="16.5" spans="1:9">
      <c r="A197" s="14">
        <v>8</v>
      </c>
      <c r="B197" s="15" t="s">
        <v>272</v>
      </c>
      <c r="C197" s="28">
        <v>3</v>
      </c>
      <c r="D197" s="13"/>
      <c r="F197" s="18">
        <v>28</v>
      </c>
      <c r="G197" s="19" t="s">
        <v>273</v>
      </c>
      <c r="H197" s="56"/>
      <c r="I197" s="64"/>
    </row>
    <row r="198" spans="1:9">
      <c r="A198" s="26">
        <v>9</v>
      </c>
      <c r="B198" s="27" t="s">
        <v>274</v>
      </c>
      <c r="C198" s="30"/>
      <c r="D198" s="11"/>
      <c r="F198" s="14">
        <v>29</v>
      </c>
      <c r="G198" s="15" t="s">
        <v>275</v>
      </c>
      <c r="H198" s="55" t="s">
        <v>276</v>
      </c>
      <c r="I198" s="65"/>
    </row>
    <row r="199" ht="16.5" spans="1:9">
      <c r="A199" s="18">
        <v>10</v>
      </c>
      <c r="B199" s="19" t="s">
        <v>277</v>
      </c>
      <c r="C199" s="32"/>
      <c r="D199" s="23"/>
      <c r="F199" s="26">
        <v>30</v>
      </c>
      <c r="G199" s="27" t="s">
        <v>278</v>
      </c>
      <c r="H199" s="57"/>
      <c r="I199" s="66"/>
    </row>
    <row r="200" spans="1:9">
      <c r="A200" s="14">
        <v>11</v>
      </c>
      <c r="B200" s="15" t="s">
        <v>279</v>
      </c>
      <c r="C200" s="28">
        <v>4</v>
      </c>
      <c r="D200" s="35"/>
      <c r="F200" s="26">
        <v>31</v>
      </c>
      <c r="G200" s="27" t="s">
        <v>280</v>
      </c>
      <c r="H200" s="57"/>
      <c r="I200" s="66"/>
    </row>
    <row r="201" spans="1:9">
      <c r="A201" s="26">
        <v>12</v>
      </c>
      <c r="B201" s="27" t="s">
        <v>281</v>
      </c>
      <c r="C201" s="30"/>
      <c r="D201" s="10"/>
      <c r="F201" s="26">
        <v>32</v>
      </c>
      <c r="G201" s="27" t="s">
        <v>282</v>
      </c>
      <c r="H201" s="57"/>
      <c r="I201" s="66"/>
    </row>
    <row r="202" ht="16.5" spans="1:9">
      <c r="A202" s="18">
        <v>13</v>
      </c>
      <c r="B202" s="19" t="s">
        <v>283</v>
      </c>
      <c r="C202" s="32"/>
      <c r="D202" s="22"/>
      <c r="F202" s="26">
        <v>33</v>
      </c>
      <c r="G202" s="27" t="s">
        <v>284</v>
      </c>
      <c r="H202" s="57"/>
      <c r="I202" s="66"/>
    </row>
    <row r="203" spans="1:9">
      <c r="A203" s="14">
        <v>14</v>
      </c>
      <c r="B203" s="15" t="s">
        <v>285</v>
      </c>
      <c r="C203" s="28">
        <v>5</v>
      </c>
      <c r="D203" s="35"/>
      <c r="F203" s="26">
        <v>34</v>
      </c>
      <c r="G203" s="27" t="s">
        <v>286</v>
      </c>
      <c r="H203" s="57"/>
      <c r="I203" s="66"/>
    </row>
    <row r="204" ht="16.5" spans="1:9">
      <c r="A204" s="18">
        <v>15</v>
      </c>
      <c r="B204" s="19" t="s">
        <v>287</v>
      </c>
      <c r="C204" s="32"/>
      <c r="D204" s="22"/>
      <c r="F204" s="26">
        <v>35</v>
      </c>
      <c r="G204" s="362" t="s">
        <v>288</v>
      </c>
      <c r="H204" s="57"/>
      <c r="I204" s="66"/>
    </row>
    <row r="205" spans="1:9">
      <c r="A205" s="14">
        <v>16</v>
      </c>
      <c r="B205" s="15" t="s">
        <v>289</v>
      </c>
      <c r="C205" s="28">
        <v>6</v>
      </c>
      <c r="D205" s="35"/>
      <c r="F205" s="26">
        <v>36</v>
      </c>
      <c r="G205" s="27" t="s">
        <v>290</v>
      </c>
      <c r="H205" s="57"/>
      <c r="I205" s="66"/>
    </row>
    <row r="206" ht="16.5" spans="1:9">
      <c r="A206" s="18">
        <v>17</v>
      </c>
      <c r="B206" s="19" t="s">
        <v>291</v>
      </c>
      <c r="C206" s="32"/>
      <c r="D206" s="22"/>
      <c r="F206" s="18">
        <v>37</v>
      </c>
      <c r="G206" s="19" t="s">
        <v>292</v>
      </c>
      <c r="H206" s="56"/>
      <c r="I206" s="64"/>
    </row>
    <row r="207" spans="1:9">
      <c r="A207" s="14">
        <v>18</v>
      </c>
      <c r="B207" s="15" t="s">
        <v>293</v>
      </c>
      <c r="C207" s="28" t="s">
        <v>220</v>
      </c>
      <c r="D207" s="35"/>
      <c r="F207" s="26">
        <v>1</v>
      </c>
      <c r="G207" s="27" t="s">
        <v>294</v>
      </c>
      <c r="H207" s="57" t="s">
        <v>295</v>
      </c>
      <c r="I207" s="67"/>
    </row>
    <row r="208" ht="16.5" spans="1:9">
      <c r="A208" s="18">
        <v>19</v>
      </c>
      <c r="B208" s="19" t="s">
        <v>296</v>
      </c>
      <c r="C208" s="32"/>
      <c r="D208" s="22"/>
      <c r="F208" s="18">
        <v>2</v>
      </c>
      <c r="G208" s="19" t="s">
        <v>297</v>
      </c>
      <c r="H208" s="56"/>
      <c r="I208" s="64"/>
    </row>
    <row r="209" ht="32.25" spans="1:4">
      <c r="A209" s="37">
        <v>20</v>
      </c>
      <c r="B209" s="38" t="s">
        <v>298</v>
      </c>
      <c r="C209" s="39" t="s">
        <v>256</v>
      </c>
      <c r="D209" s="37" t="s">
        <v>130</v>
      </c>
    </row>
    <row r="211" ht="16.5" spans="1:4">
      <c r="A211" s="40" t="s">
        <v>83</v>
      </c>
      <c r="B211" s="41" t="s">
        <v>299</v>
      </c>
      <c r="C211" s="41" t="s">
        <v>300</v>
      </c>
      <c r="D211" s="42" t="s">
        <v>118</v>
      </c>
    </row>
    <row r="212" spans="1:4">
      <c r="A212" s="43">
        <v>1</v>
      </c>
      <c r="B212" s="44" t="s">
        <v>301</v>
      </c>
      <c r="C212" s="44" t="s">
        <v>108</v>
      </c>
      <c r="D212" s="45" t="s">
        <v>302</v>
      </c>
    </row>
    <row r="213" spans="1:4">
      <c r="A213" s="46">
        <v>2</v>
      </c>
      <c r="B213" s="47" t="s">
        <v>303</v>
      </c>
      <c r="C213" s="47" t="s">
        <v>130</v>
      </c>
      <c r="D213" s="48" t="s">
        <v>304</v>
      </c>
    </row>
    <row r="214" ht="16.5" spans="1:4">
      <c r="A214" s="49">
        <v>3</v>
      </c>
      <c r="B214" s="50" t="s">
        <v>305</v>
      </c>
      <c r="C214" s="50" t="s">
        <v>126</v>
      </c>
      <c r="D214" s="51" t="s">
        <v>306</v>
      </c>
    </row>
    <row r="216" spans="1:8">
      <c r="A216" s="1" t="s">
        <v>307</v>
      </c>
      <c r="H216" s="1" t="s">
        <v>138</v>
      </c>
    </row>
    <row r="217" spans="1:8">
      <c r="A217" s="1" t="s">
        <v>308</v>
      </c>
      <c r="E217" s="52" t="s">
        <v>309</v>
      </c>
      <c r="F217" s="52"/>
      <c r="H217" s="1" t="s">
        <v>310</v>
      </c>
    </row>
    <row r="220" spans="1:8">
      <c r="A220" s="53" t="s">
        <v>311</v>
      </c>
      <c r="E220" s="54" t="str">
        <f>'DATA SISWA'!M13</f>
        <v>ANDI SAPUTRA</v>
      </c>
      <c r="F220" s="54"/>
      <c r="H220" s="53" t="s">
        <v>241</v>
      </c>
    </row>
    <row r="221" spans="1:8">
      <c r="A221" s="6" t="s">
        <v>145</v>
      </c>
      <c r="H221" s="6" t="s">
        <v>242</v>
      </c>
    </row>
    <row r="226" spans="1:9">
      <c r="A226" s="2" t="s">
        <v>178</v>
      </c>
      <c r="B226" s="2"/>
      <c r="C226" s="2"/>
      <c r="D226" s="2"/>
      <c r="E226" s="2"/>
      <c r="F226" s="2"/>
      <c r="G226" s="2"/>
      <c r="H226" s="2"/>
      <c r="I226" s="2"/>
    </row>
    <row r="227" spans="1:9">
      <c r="A227" s="2"/>
      <c r="B227" s="2"/>
      <c r="C227" s="2"/>
      <c r="D227" s="2"/>
      <c r="E227" s="2"/>
      <c r="F227" s="2"/>
      <c r="G227" s="2"/>
      <c r="H227" s="2"/>
      <c r="I227" s="2"/>
    </row>
    <row r="228" spans="1:9">
      <c r="A228" s="2"/>
      <c r="B228" s="2"/>
      <c r="C228" s="2"/>
      <c r="D228" s="2"/>
      <c r="E228" s="2"/>
      <c r="F228" s="2"/>
      <c r="G228" s="2"/>
      <c r="H228" s="2"/>
      <c r="I228" s="2"/>
    </row>
    <row r="229" spans="1:9">
      <c r="A229" s="3"/>
      <c r="B229" s="3"/>
      <c r="C229" s="3"/>
      <c r="D229" s="3"/>
      <c r="E229" s="3"/>
      <c r="F229" s="3"/>
      <c r="G229" s="3"/>
      <c r="H229" s="3"/>
      <c r="I229" s="3"/>
    </row>
    <row r="231" spans="1:4">
      <c r="A231" s="4" t="s">
        <v>179</v>
      </c>
      <c r="B231" s="4"/>
      <c r="C231" s="5" t="str">
        <f>'DATA SISWA'!B14</f>
        <v>MUSTOFA ABDUL KARIM BENZEMA</v>
      </c>
      <c r="D231" s="5"/>
    </row>
    <row r="232" spans="1:4">
      <c r="A232" s="4" t="s">
        <v>113</v>
      </c>
      <c r="B232" s="4"/>
      <c r="C232" s="6" t="s">
        <v>3</v>
      </c>
      <c r="D232" s="6"/>
    </row>
    <row r="234" ht="16.5" spans="1:9">
      <c r="A234" s="7" t="s">
        <v>83</v>
      </c>
      <c r="B234" s="7" t="s">
        <v>253</v>
      </c>
      <c r="C234" s="8" t="s">
        <v>180</v>
      </c>
      <c r="D234" s="7" t="s">
        <v>117</v>
      </c>
      <c r="F234" s="9" t="s">
        <v>83</v>
      </c>
      <c r="G234" s="9" t="s">
        <v>253</v>
      </c>
      <c r="H234" s="9" t="s">
        <v>180</v>
      </c>
      <c r="I234" s="61" t="s">
        <v>117</v>
      </c>
    </row>
    <row r="235" spans="1:9">
      <c r="A235" s="10">
        <v>1</v>
      </c>
      <c r="B235" s="11" t="s">
        <v>254</v>
      </c>
      <c r="C235" s="12">
        <v>1</v>
      </c>
      <c r="D235" s="13"/>
      <c r="F235" s="14">
        <v>21</v>
      </c>
      <c r="G235" s="15" t="s">
        <v>255</v>
      </c>
      <c r="H235" s="21" t="s">
        <v>256</v>
      </c>
      <c r="I235" s="62" t="s">
        <v>108</v>
      </c>
    </row>
    <row r="236" ht="16.5" spans="1:9">
      <c r="A236" s="10">
        <v>2</v>
      </c>
      <c r="B236" s="11" t="s">
        <v>257</v>
      </c>
      <c r="C236" s="17"/>
      <c r="D236" s="11"/>
      <c r="F236" s="18">
        <v>22</v>
      </c>
      <c r="G236" s="19" t="s">
        <v>258</v>
      </c>
      <c r="H236" s="25"/>
      <c r="I236" s="63" t="s">
        <v>108</v>
      </c>
    </row>
    <row r="237" spans="1:9">
      <c r="A237" s="10">
        <v>3</v>
      </c>
      <c r="B237" s="11" t="s">
        <v>259</v>
      </c>
      <c r="C237" s="17"/>
      <c r="D237" s="11"/>
      <c r="F237" s="14">
        <v>23</v>
      </c>
      <c r="G237" s="15" t="s">
        <v>260</v>
      </c>
      <c r="H237" s="21" t="s">
        <v>261</v>
      </c>
      <c r="I237" s="62" t="s">
        <v>126</v>
      </c>
    </row>
    <row r="238" ht="16.5" spans="1:9">
      <c r="A238" s="22">
        <v>4</v>
      </c>
      <c r="B238" s="23" t="s">
        <v>262</v>
      </c>
      <c r="C238" s="24"/>
      <c r="D238" s="23"/>
      <c r="F238" s="18">
        <v>24</v>
      </c>
      <c r="G238" s="19" t="s">
        <v>263</v>
      </c>
      <c r="H238" s="25"/>
      <c r="I238" s="63" t="s">
        <v>130</v>
      </c>
    </row>
    <row r="239" spans="1:9">
      <c r="A239" s="26">
        <v>5</v>
      </c>
      <c r="B239" s="27" t="s">
        <v>264</v>
      </c>
      <c r="C239" s="28">
        <v>2</v>
      </c>
      <c r="D239" s="13"/>
      <c r="F239" s="14">
        <v>25</v>
      </c>
      <c r="G239" s="15" t="s">
        <v>265</v>
      </c>
      <c r="H239" s="55" t="s">
        <v>266</v>
      </c>
      <c r="I239" s="62" t="s">
        <v>126</v>
      </c>
    </row>
    <row r="240" ht="16.5" spans="1:9">
      <c r="A240" s="26">
        <v>6</v>
      </c>
      <c r="B240" s="27" t="s">
        <v>267</v>
      </c>
      <c r="C240" s="30"/>
      <c r="D240" s="11"/>
      <c r="F240" s="18">
        <v>26</v>
      </c>
      <c r="G240" s="19" t="s">
        <v>268</v>
      </c>
      <c r="H240" s="56"/>
      <c r="I240" s="63" t="s">
        <v>130</v>
      </c>
    </row>
    <row r="241" ht="16.5" spans="1:9">
      <c r="A241" s="18">
        <v>7</v>
      </c>
      <c r="B241" s="19" t="s">
        <v>269</v>
      </c>
      <c r="C241" s="32"/>
      <c r="D241" s="23"/>
      <c r="F241" s="14">
        <v>27</v>
      </c>
      <c r="G241" s="15" t="s">
        <v>270</v>
      </c>
      <c r="H241" s="55" t="s">
        <v>271</v>
      </c>
      <c r="I241" s="62" t="s">
        <v>130</v>
      </c>
    </row>
    <row r="242" ht="16.5" spans="1:9">
      <c r="A242" s="14">
        <v>8</v>
      </c>
      <c r="B242" s="15" t="s">
        <v>272</v>
      </c>
      <c r="C242" s="28">
        <v>3</v>
      </c>
      <c r="D242" s="13"/>
      <c r="F242" s="18">
        <v>28</v>
      </c>
      <c r="G242" s="19" t="s">
        <v>273</v>
      </c>
      <c r="H242" s="56"/>
      <c r="I242" s="64"/>
    </row>
    <row r="243" spans="1:9">
      <c r="A243" s="26">
        <v>9</v>
      </c>
      <c r="B243" s="27" t="s">
        <v>274</v>
      </c>
      <c r="C243" s="30"/>
      <c r="D243" s="11"/>
      <c r="F243" s="14">
        <v>29</v>
      </c>
      <c r="G243" s="15" t="s">
        <v>275</v>
      </c>
      <c r="H243" s="55" t="s">
        <v>276</v>
      </c>
      <c r="I243" s="65"/>
    </row>
    <row r="244" ht="16.5" spans="1:9">
      <c r="A244" s="18">
        <v>10</v>
      </c>
      <c r="B244" s="19" t="s">
        <v>277</v>
      </c>
      <c r="C244" s="32"/>
      <c r="D244" s="23"/>
      <c r="F244" s="26">
        <v>30</v>
      </c>
      <c r="G244" s="27" t="s">
        <v>278</v>
      </c>
      <c r="H244" s="57"/>
      <c r="I244" s="66"/>
    </row>
    <row r="245" spans="1:9">
      <c r="A245" s="14">
        <v>11</v>
      </c>
      <c r="B245" s="15" t="s">
        <v>279</v>
      </c>
      <c r="C245" s="28">
        <v>4</v>
      </c>
      <c r="D245" s="35"/>
      <c r="F245" s="26">
        <v>31</v>
      </c>
      <c r="G245" s="27" t="s">
        <v>280</v>
      </c>
      <c r="H245" s="57"/>
      <c r="I245" s="66"/>
    </row>
    <row r="246" spans="1:9">
      <c r="A246" s="26">
        <v>12</v>
      </c>
      <c r="B246" s="27" t="s">
        <v>281</v>
      </c>
      <c r="C246" s="30"/>
      <c r="D246" s="10"/>
      <c r="F246" s="26">
        <v>32</v>
      </c>
      <c r="G246" s="27" t="s">
        <v>282</v>
      </c>
      <c r="H246" s="57"/>
      <c r="I246" s="66"/>
    </row>
    <row r="247" ht="16.5" spans="1:9">
      <c r="A247" s="18">
        <v>13</v>
      </c>
      <c r="B247" s="19" t="s">
        <v>283</v>
      </c>
      <c r="C247" s="32"/>
      <c r="D247" s="22"/>
      <c r="F247" s="26">
        <v>33</v>
      </c>
      <c r="G247" s="27" t="s">
        <v>284</v>
      </c>
      <c r="H247" s="57"/>
      <c r="I247" s="66"/>
    </row>
    <row r="248" spans="1:9">
      <c r="A248" s="14">
        <v>14</v>
      </c>
      <c r="B248" s="15" t="s">
        <v>285</v>
      </c>
      <c r="C248" s="28">
        <v>5</v>
      </c>
      <c r="D248" s="35"/>
      <c r="F248" s="26">
        <v>34</v>
      </c>
      <c r="G248" s="27" t="s">
        <v>286</v>
      </c>
      <c r="H248" s="57"/>
      <c r="I248" s="66"/>
    </row>
    <row r="249" ht="16.5" spans="1:9">
      <c r="A249" s="18">
        <v>15</v>
      </c>
      <c r="B249" s="19" t="s">
        <v>287</v>
      </c>
      <c r="C249" s="32"/>
      <c r="D249" s="22"/>
      <c r="F249" s="26">
        <v>35</v>
      </c>
      <c r="G249" s="362" t="s">
        <v>288</v>
      </c>
      <c r="H249" s="57"/>
      <c r="I249" s="66"/>
    </row>
    <row r="250" spans="1:9">
      <c r="A250" s="14">
        <v>16</v>
      </c>
      <c r="B250" s="15" t="s">
        <v>289</v>
      </c>
      <c r="C250" s="28">
        <v>6</v>
      </c>
      <c r="D250" s="35"/>
      <c r="F250" s="26">
        <v>36</v>
      </c>
      <c r="G250" s="27" t="s">
        <v>290</v>
      </c>
      <c r="H250" s="57"/>
      <c r="I250" s="66"/>
    </row>
    <row r="251" ht="16.5" spans="1:9">
      <c r="A251" s="18">
        <v>17</v>
      </c>
      <c r="B251" s="19" t="s">
        <v>291</v>
      </c>
      <c r="C251" s="32"/>
      <c r="D251" s="22"/>
      <c r="F251" s="18">
        <v>37</v>
      </c>
      <c r="G251" s="19" t="s">
        <v>292</v>
      </c>
      <c r="H251" s="56"/>
      <c r="I251" s="64"/>
    </row>
    <row r="252" spans="1:9">
      <c r="A252" s="14">
        <v>18</v>
      </c>
      <c r="B252" s="15" t="s">
        <v>293</v>
      </c>
      <c r="C252" s="28" t="s">
        <v>220</v>
      </c>
      <c r="D252" s="35"/>
      <c r="F252" s="26">
        <v>1</v>
      </c>
      <c r="G252" s="27" t="s">
        <v>294</v>
      </c>
      <c r="H252" s="57" t="s">
        <v>295</v>
      </c>
      <c r="I252" s="67"/>
    </row>
    <row r="253" ht="16.5" spans="1:9">
      <c r="A253" s="18">
        <v>19</v>
      </c>
      <c r="B253" s="19" t="s">
        <v>296</v>
      </c>
      <c r="C253" s="32"/>
      <c r="D253" s="22"/>
      <c r="F253" s="18">
        <v>2</v>
      </c>
      <c r="G253" s="19" t="s">
        <v>297</v>
      </c>
      <c r="H253" s="56"/>
      <c r="I253" s="64"/>
    </row>
    <row r="254" ht="32.25" spans="1:4">
      <c r="A254" s="37">
        <v>20</v>
      </c>
      <c r="B254" s="38" t="s">
        <v>298</v>
      </c>
      <c r="C254" s="39" t="s">
        <v>256</v>
      </c>
      <c r="D254" s="37" t="s">
        <v>108</v>
      </c>
    </row>
    <row r="256" ht="16.5" spans="1:4">
      <c r="A256" s="40" t="s">
        <v>83</v>
      </c>
      <c r="B256" s="41" t="s">
        <v>299</v>
      </c>
      <c r="C256" s="41" t="s">
        <v>300</v>
      </c>
      <c r="D256" s="42" t="s">
        <v>118</v>
      </c>
    </row>
    <row r="257" spans="1:4">
      <c r="A257" s="43">
        <v>1</v>
      </c>
      <c r="B257" s="44" t="s">
        <v>301</v>
      </c>
      <c r="C257" s="44" t="s">
        <v>108</v>
      </c>
      <c r="D257" s="45" t="s">
        <v>302</v>
      </c>
    </row>
    <row r="258" spans="1:4">
      <c r="A258" s="46">
        <v>2</v>
      </c>
      <c r="B258" s="47" t="s">
        <v>303</v>
      </c>
      <c r="C258" s="47" t="s">
        <v>130</v>
      </c>
      <c r="D258" s="48" t="s">
        <v>304</v>
      </c>
    </row>
    <row r="259" ht="16.5" spans="1:4">
      <c r="A259" s="49">
        <v>3</v>
      </c>
      <c r="B259" s="50" t="s">
        <v>305</v>
      </c>
      <c r="C259" s="50" t="s">
        <v>126</v>
      </c>
      <c r="D259" s="51" t="s">
        <v>306</v>
      </c>
    </row>
    <row r="261" spans="1:8">
      <c r="A261" s="1" t="s">
        <v>307</v>
      </c>
      <c r="H261" s="1" t="s">
        <v>138</v>
      </c>
    </row>
    <row r="262" spans="1:8">
      <c r="A262" s="1" t="s">
        <v>308</v>
      </c>
      <c r="D262" s="52" t="s">
        <v>309</v>
      </c>
      <c r="E262" s="52"/>
      <c r="F262" s="52"/>
      <c r="H262" s="1" t="s">
        <v>310</v>
      </c>
    </row>
    <row r="265" spans="1:8">
      <c r="A265" s="53" t="s">
        <v>311</v>
      </c>
      <c r="D265" s="68" t="str">
        <f>'DATA SISWA'!M14</f>
        <v>MUTHOLIB</v>
      </c>
      <c r="E265" s="68"/>
      <c r="F265" s="68"/>
      <c r="H265" s="53" t="s">
        <v>241</v>
      </c>
    </row>
    <row r="266" spans="1:8">
      <c r="A266" s="6" t="s">
        <v>145</v>
      </c>
      <c r="H266" s="6" t="s">
        <v>242</v>
      </c>
    </row>
    <row r="271" spans="1:9">
      <c r="A271" s="2" t="s">
        <v>178</v>
      </c>
      <c r="B271" s="2"/>
      <c r="C271" s="2"/>
      <c r="D271" s="2"/>
      <c r="E271" s="2"/>
      <c r="F271" s="2"/>
      <c r="G271" s="2"/>
      <c r="H271" s="2"/>
      <c r="I271" s="2"/>
    </row>
    <row r="272" spans="1:9">
      <c r="A272" s="2"/>
      <c r="B272" s="2"/>
      <c r="C272" s="2"/>
      <c r="D272" s="2"/>
      <c r="E272" s="2"/>
      <c r="F272" s="2"/>
      <c r="G272" s="2"/>
      <c r="H272" s="2"/>
      <c r="I272" s="2"/>
    </row>
    <row r="273" spans="1:9">
      <c r="A273" s="2"/>
      <c r="B273" s="2"/>
      <c r="C273" s="2"/>
      <c r="D273" s="2"/>
      <c r="E273" s="2"/>
      <c r="F273" s="2"/>
      <c r="G273" s="2"/>
      <c r="H273" s="2"/>
      <c r="I273" s="2"/>
    </row>
    <row r="274" spans="1:9">
      <c r="A274" s="3"/>
      <c r="B274" s="3"/>
      <c r="C274" s="3"/>
      <c r="D274" s="3"/>
      <c r="E274" s="3"/>
      <c r="F274" s="3"/>
      <c r="G274" s="3"/>
      <c r="H274" s="3"/>
      <c r="I274" s="3"/>
    </row>
    <row r="276" spans="1:4">
      <c r="A276" s="4" t="s">
        <v>179</v>
      </c>
      <c r="B276" s="4"/>
      <c r="C276" s="6" t="str">
        <f>'DATA SISWA'!B15</f>
        <v>RAZAN MUMTAZAH ZUBAIR</v>
      </c>
      <c r="D276" s="6"/>
    </row>
    <row r="277" spans="1:4">
      <c r="A277" s="4" t="s">
        <v>113</v>
      </c>
      <c r="B277" s="4"/>
      <c r="C277" s="6" t="s">
        <v>3</v>
      </c>
      <c r="D277" s="6"/>
    </row>
    <row r="279" ht="16.5" spans="1:9">
      <c r="A279" s="7" t="s">
        <v>83</v>
      </c>
      <c r="B279" s="7" t="s">
        <v>253</v>
      </c>
      <c r="C279" s="8" t="s">
        <v>180</v>
      </c>
      <c r="D279" s="7" t="s">
        <v>117</v>
      </c>
      <c r="F279" s="9" t="s">
        <v>83</v>
      </c>
      <c r="G279" s="9" t="s">
        <v>253</v>
      </c>
      <c r="H279" s="9" t="s">
        <v>180</v>
      </c>
      <c r="I279" s="61" t="s">
        <v>117</v>
      </c>
    </row>
    <row r="280" spans="1:9">
      <c r="A280" s="10">
        <v>1</v>
      </c>
      <c r="B280" s="11" t="s">
        <v>254</v>
      </c>
      <c r="C280" s="12">
        <v>1</v>
      </c>
      <c r="D280" s="13"/>
      <c r="F280" s="14">
        <v>21</v>
      </c>
      <c r="G280" s="15" t="s">
        <v>255</v>
      </c>
      <c r="H280" s="21" t="s">
        <v>256</v>
      </c>
      <c r="I280" s="62" t="s">
        <v>108</v>
      </c>
    </row>
    <row r="281" ht="16.5" spans="1:9">
      <c r="A281" s="10">
        <v>2</v>
      </c>
      <c r="B281" s="11" t="s">
        <v>257</v>
      </c>
      <c r="C281" s="17"/>
      <c r="D281" s="11"/>
      <c r="F281" s="18">
        <v>22</v>
      </c>
      <c r="G281" s="19" t="s">
        <v>258</v>
      </c>
      <c r="H281" s="25"/>
      <c r="I281" s="63" t="s">
        <v>108</v>
      </c>
    </row>
    <row r="282" spans="1:9">
      <c r="A282" s="10">
        <v>3</v>
      </c>
      <c r="B282" s="11" t="s">
        <v>259</v>
      </c>
      <c r="C282" s="17"/>
      <c r="D282" s="11"/>
      <c r="F282" s="14">
        <v>23</v>
      </c>
      <c r="G282" s="15" t="s">
        <v>260</v>
      </c>
      <c r="H282" s="21" t="s">
        <v>261</v>
      </c>
      <c r="I282" s="62" t="s">
        <v>108</v>
      </c>
    </row>
    <row r="283" ht="16.5" spans="1:9">
      <c r="A283" s="22">
        <v>4</v>
      </c>
      <c r="B283" s="23" t="s">
        <v>262</v>
      </c>
      <c r="C283" s="24"/>
      <c r="D283" s="23"/>
      <c r="F283" s="18">
        <v>24</v>
      </c>
      <c r="G283" s="19" t="s">
        <v>263</v>
      </c>
      <c r="H283" s="25"/>
      <c r="I283" s="63" t="s">
        <v>108</v>
      </c>
    </row>
    <row r="284" spans="1:9">
      <c r="A284" s="26">
        <v>5</v>
      </c>
      <c r="B284" s="27" t="s">
        <v>264</v>
      </c>
      <c r="C284" s="28">
        <v>2</v>
      </c>
      <c r="D284" s="13"/>
      <c r="F284" s="14">
        <v>25</v>
      </c>
      <c r="G284" s="15" t="s">
        <v>265</v>
      </c>
      <c r="H284" s="55" t="s">
        <v>266</v>
      </c>
      <c r="I284" s="62" t="s">
        <v>108</v>
      </c>
    </row>
    <row r="285" ht="16.5" spans="1:9">
      <c r="A285" s="26">
        <v>6</v>
      </c>
      <c r="B285" s="27" t="s">
        <v>267</v>
      </c>
      <c r="C285" s="30"/>
      <c r="D285" s="11"/>
      <c r="F285" s="18">
        <v>26</v>
      </c>
      <c r="G285" s="19" t="s">
        <v>268</v>
      </c>
      <c r="H285" s="56"/>
      <c r="I285" s="63" t="s">
        <v>130</v>
      </c>
    </row>
    <row r="286" ht="16.5" spans="1:9">
      <c r="A286" s="18">
        <v>7</v>
      </c>
      <c r="B286" s="19" t="s">
        <v>269</v>
      </c>
      <c r="C286" s="32"/>
      <c r="D286" s="23"/>
      <c r="F286" s="14">
        <v>27</v>
      </c>
      <c r="G286" s="15" t="s">
        <v>270</v>
      </c>
      <c r="H286" s="55" t="s">
        <v>271</v>
      </c>
      <c r="I286" s="62" t="s">
        <v>108</v>
      </c>
    </row>
    <row r="287" ht="16.5" spans="1:9">
      <c r="A287" s="14">
        <v>8</v>
      </c>
      <c r="B287" s="15" t="s">
        <v>272</v>
      </c>
      <c r="C287" s="28">
        <v>3</v>
      </c>
      <c r="D287" s="13"/>
      <c r="F287" s="18">
        <v>28</v>
      </c>
      <c r="G287" s="19" t="s">
        <v>273</v>
      </c>
      <c r="H287" s="56"/>
      <c r="I287" s="64"/>
    </row>
    <row r="288" spans="1:9">
      <c r="A288" s="26">
        <v>9</v>
      </c>
      <c r="B288" s="27" t="s">
        <v>274</v>
      </c>
      <c r="C288" s="30"/>
      <c r="D288" s="11"/>
      <c r="F288" s="14">
        <v>29</v>
      </c>
      <c r="G288" s="15" t="s">
        <v>275</v>
      </c>
      <c r="H288" s="55" t="s">
        <v>276</v>
      </c>
      <c r="I288" s="65"/>
    </row>
    <row r="289" ht="16.5" spans="1:9">
      <c r="A289" s="18">
        <v>10</v>
      </c>
      <c r="B289" s="19" t="s">
        <v>277</v>
      </c>
      <c r="C289" s="32"/>
      <c r="D289" s="23"/>
      <c r="F289" s="26">
        <v>30</v>
      </c>
      <c r="G289" s="27" t="s">
        <v>278</v>
      </c>
      <c r="H289" s="57"/>
      <c r="I289" s="66"/>
    </row>
    <row r="290" spans="1:9">
      <c r="A290" s="14">
        <v>11</v>
      </c>
      <c r="B290" s="15" t="s">
        <v>279</v>
      </c>
      <c r="C290" s="28">
        <v>4</v>
      </c>
      <c r="D290" s="35"/>
      <c r="F290" s="26">
        <v>31</v>
      </c>
      <c r="G290" s="27" t="s">
        <v>280</v>
      </c>
      <c r="H290" s="57"/>
      <c r="I290" s="66"/>
    </row>
    <row r="291" spans="1:9">
      <c r="A291" s="26">
        <v>12</v>
      </c>
      <c r="B291" s="27" t="s">
        <v>281</v>
      </c>
      <c r="C291" s="30"/>
      <c r="D291" s="10"/>
      <c r="F291" s="26">
        <v>32</v>
      </c>
      <c r="G291" s="27" t="s">
        <v>282</v>
      </c>
      <c r="H291" s="57"/>
      <c r="I291" s="66"/>
    </row>
    <row r="292" ht="16.5" spans="1:9">
      <c r="A292" s="18">
        <v>13</v>
      </c>
      <c r="B292" s="19" t="s">
        <v>283</v>
      </c>
      <c r="C292" s="32"/>
      <c r="D292" s="22"/>
      <c r="F292" s="26">
        <v>33</v>
      </c>
      <c r="G292" s="27" t="s">
        <v>284</v>
      </c>
      <c r="H292" s="57"/>
      <c r="I292" s="66"/>
    </row>
    <row r="293" spans="1:9">
      <c r="A293" s="14">
        <v>14</v>
      </c>
      <c r="B293" s="15" t="s">
        <v>285</v>
      </c>
      <c r="C293" s="28">
        <v>5</v>
      </c>
      <c r="D293" s="35"/>
      <c r="F293" s="26">
        <v>34</v>
      </c>
      <c r="G293" s="27" t="s">
        <v>286</v>
      </c>
      <c r="H293" s="57"/>
      <c r="I293" s="66"/>
    </row>
    <row r="294" ht="16.5" spans="1:9">
      <c r="A294" s="18">
        <v>15</v>
      </c>
      <c r="B294" s="19" t="s">
        <v>287</v>
      </c>
      <c r="C294" s="32"/>
      <c r="D294" s="22"/>
      <c r="F294" s="26">
        <v>35</v>
      </c>
      <c r="G294" s="362" t="s">
        <v>288</v>
      </c>
      <c r="H294" s="57"/>
      <c r="I294" s="66"/>
    </row>
    <row r="295" spans="1:9">
      <c r="A295" s="14">
        <v>16</v>
      </c>
      <c r="B295" s="15" t="s">
        <v>289</v>
      </c>
      <c r="C295" s="28">
        <v>6</v>
      </c>
      <c r="D295" s="35"/>
      <c r="F295" s="26">
        <v>36</v>
      </c>
      <c r="G295" s="27" t="s">
        <v>290</v>
      </c>
      <c r="H295" s="57"/>
      <c r="I295" s="66"/>
    </row>
    <row r="296" ht="16.5" spans="1:9">
      <c r="A296" s="18">
        <v>17</v>
      </c>
      <c r="B296" s="19" t="s">
        <v>291</v>
      </c>
      <c r="C296" s="32"/>
      <c r="D296" s="22"/>
      <c r="F296" s="18">
        <v>37</v>
      </c>
      <c r="G296" s="19" t="s">
        <v>292</v>
      </c>
      <c r="H296" s="56"/>
      <c r="I296" s="64"/>
    </row>
    <row r="297" spans="1:9">
      <c r="A297" s="14">
        <v>18</v>
      </c>
      <c r="B297" s="15" t="s">
        <v>293</v>
      </c>
      <c r="C297" s="28" t="s">
        <v>220</v>
      </c>
      <c r="D297" s="35"/>
      <c r="F297" s="26">
        <v>1</v>
      </c>
      <c r="G297" s="27" t="s">
        <v>294</v>
      </c>
      <c r="H297" s="57" t="s">
        <v>295</v>
      </c>
      <c r="I297" s="67"/>
    </row>
    <row r="298" ht="16.5" spans="1:9">
      <c r="A298" s="18">
        <v>19</v>
      </c>
      <c r="B298" s="19" t="s">
        <v>296</v>
      </c>
      <c r="C298" s="32"/>
      <c r="D298" s="22"/>
      <c r="F298" s="18">
        <v>2</v>
      </c>
      <c r="G298" s="19" t="s">
        <v>297</v>
      </c>
      <c r="H298" s="56"/>
      <c r="I298" s="64"/>
    </row>
    <row r="299" ht="32.25" spans="1:4">
      <c r="A299" s="37">
        <v>20</v>
      </c>
      <c r="B299" s="38" t="s">
        <v>298</v>
      </c>
      <c r="C299" s="39" t="s">
        <v>256</v>
      </c>
      <c r="D299" s="37" t="s">
        <v>108</v>
      </c>
    </row>
    <row r="301" ht="16.5" spans="1:4">
      <c r="A301" s="40" t="s">
        <v>83</v>
      </c>
      <c r="B301" s="41" t="s">
        <v>299</v>
      </c>
      <c r="C301" s="41" t="s">
        <v>300</v>
      </c>
      <c r="D301" s="42" t="s">
        <v>118</v>
      </c>
    </row>
    <row r="302" spans="1:4">
      <c r="A302" s="43">
        <v>1</v>
      </c>
      <c r="B302" s="44" t="s">
        <v>301</v>
      </c>
      <c r="C302" s="44" t="s">
        <v>108</v>
      </c>
      <c r="D302" s="45" t="s">
        <v>302</v>
      </c>
    </row>
    <row r="303" spans="1:4">
      <c r="A303" s="46">
        <v>2</v>
      </c>
      <c r="B303" s="47" t="s">
        <v>303</v>
      </c>
      <c r="C303" s="47" t="s">
        <v>130</v>
      </c>
      <c r="D303" s="48" t="s">
        <v>304</v>
      </c>
    </row>
    <row r="304" ht="16.5" spans="1:4">
      <c r="A304" s="49">
        <v>3</v>
      </c>
      <c r="B304" s="50" t="s">
        <v>305</v>
      </c>
      <c r="C304" s="50" t="s">
        <v>126</v>
      </c>
      <c r="D304" s="51" t="s">
        <v>306</v>
      </c>
    </row>
    <row r="306" spans="1:8">
      <c r="A306" s="1" t="s">
        <v>307</v>
      </c>
      <c r="H306" s="1" t="s">
        <v>138</v>
      </c>
    </row>
    <row r="307" spans="1:8">
      <c r="A307" s="1" t="s">
        <v>308</v>
      </c>
      <c r="E307" s="52" t="s">
        <v>309</v>
      </c>
      <c r="F307" s="52"/>
      <c r="H307" s="1" t="s">
        <v>310</v>
      </c>
    </row>
    <row r="310" spans="1:8">
      <c r="A310" s="53" t="s">
        <v>311</v>
      </c>
      <c r="E310" s="68" t="str">
        <f>'DATA SISWA'!M15</f>
        <v>DESRENI</v>
      </c>
      <c r="F310" s="68"/>
      <c r="H310" s="53" t="s">
        <v>241</v>
      </c>
    </row>
    <row r="311" spans="1:8">
      <c r="A311" s="6" t="s">
        <v>145</v>
      </c>
      <c r="H311" s="6" t="s">
        <v>242</v>
      </c>
    </row>
    <row r="315" spans="1:9">
      <c r="A315" s="2" t="s">
        <v>178</v>
      </c>
      <c r="B315" s="2"/>
      <c r="C315" s="2"/>
      <c r="D315" s="2"/>
      <c r="E315" s="2"/>
      <c r="F315" s="2"/>
      <c r="G315" s="2"/>
      <c r="H315" s="2"/>
      <c r="I315" s="2"/>
    </row>
    <row r="316" spans="1:9">
      <c r="A316" s="2"/>
      <c r="B316" s="2"/>
      <c r="C316" s="2"/>
      <c r="D316" s="2"/>
      <c r="E316" s="2"/>
      <c r="F316" s="2"/>
      <c r="G316" s="2"/>
      <c r="H316" s="2"/>
      <c r="I316" s="2"/>
    </row>
    <row r="317" spans="1:9">
      <c r="A317" s="2"/>
      <c r="B317" s="2"/>
      <c r="C317" s="2"/>
      <c r="D317" s="2"/>
      <c r="E317" s="2"/>
      <c r="F317" s="2"/>
      <c r="G317" s="2"/>
      <c r="H317" s="2"/>
      <c r="I317" s="2"/>
    </row>
    <row r="318" spans="1:9">
      <c r="A318" s="3"/>
      <c r="B318" s="3"/>
      <c r="C318" s="3"/>
      <c r="D318" s="3"/>
      <c r="E318" s="3"/>
      <c r="F318" s="3"/>
      <c r="G318" s="3"/>
      <c r="H318" s="3"/>
      <c r="I318" s="3"/>
    </row>
    <row r="320" spans="1:4">
      <c r="A320" s="4" t="s">
        <v>179</v>
      </c>
      <c r="B320" s="4"/>
      <c r="C320" s="6" t="str">
        <f>'DATA SISWA'!B16</f>
        <v>SHOFIYYAH MIZYANAH</v>
      </c>
      <c r="D320" s="6"/>
    </row>
    <row r="321" spans="1:4">
      <c r="A321" s="4" t="s">
        <v>113</v>
      </c>
      <c r="B321" s="4"/>
      <c r="C321" s="6" t="s">
        <v>3</v>
      </c>
      <c r="D321" s="6"/>
    </row>
    <row r="323" ht="16.5" spans="1:9">
      <c r="A323" s="7" t="s">
        <v>83</v>
      </c>
      <c r="B323" s="7" t="s">
        <v>253</v>
      </c>
      <c r="C323" s="8" t="s">
        <v>180</v>
      </c>
      <c r="D323" s="7" t="s">
        <v>117</v>
      </c>
      <c r="F323" s="9" t="s">
        <v>83</v>
      </c>
      <c r="G323" s="9" t="s">
        <v>253</v>
      </c>
      <c r="H323" s="9" t="s">
        <v>180</v>
      </c>
      <c r="I323" s="61" t="s">
        <v>117</v>
      </c>
    </row>
    <row r="324" spans="1:9">
      <c r="A324" s="10">
        <v>1</v>
      </c>
      <c r="B324" s="11" t="s">
        <v>254</v>
      </c>
      <c r="C324" s="12">
        <v>1</v>
      </c>
      <c r="D324" s="13"/>
      <c r="F324" s="14">
        <v>21</v>
      </c>
      <c r="G324" s="15" t="s">
        <v>255</v>
      </c>
      <c r="H324" s="21" t="s">
        <v>256</v>
      </c>
      <c r="I324" s="62" t="s">
        <v>108</v>
      </c>
    </row>
    <row r="325" ht="16.5" spans="1:9">
      <c r="A325" s="10">
        <v>2</v>
      </c>
      <c r="B325" s="11" t="s">
        <v>257</v>
      </c>
      <c r="C325" s="17"/>
      <c r="D325" s="11"/>
      <c r="F325" s="18">
        <v>22</v>
      </c>
      <c r="G325" s="19" t="s">
        <v>258</v>
      </c>
      <c r="H325" s="25"/>
      <c r="I325" s="63" t="s">
        <v>108</v>
      </c>
    </row>
    <row r="326" spans="1:9">
      <c r="A326" s="10">
        <v>3</v>
      </c>
      <c r="B326" s="11" t="s">
        <v>259</v>
      </c>
      <c r="C326" s="17"/>
      <c r="D326" s="11"/>
      <c r="F326" s="14">
        <v>23</v>
      </c>
      <c r="G326" s="15" t="s">
        <v>260</v>
      </c>
      <c r="H326" s="21" t="s">
        <v>261</v>
      </c>
      <c r="I326" s="62" t="s">
        <v>108</v>
      </c>
    </row>
    <row r="327" ht="16.5" spans="1:9">
      <c r="A327" s="22">
        <v>4</v>
      </c>
      <c r="B327" s="23" t="s">
        <v>262</v>
      </c>
      <c r="C327" s="24"/>
      <c r="D327" s="23"/>
      <c r="F327" s="18">
        <v>24</v>
      </c>
      <c r="G327" s="19" t="s">
        <v>263</v>
      </c>
      <c r="H327" s="25"/>
      <c r="I327" s="63" t="s">
        <v>108</v>
      </c>
    </row>
    <row r="328" spans="1:9">
      <c r="A328" s="26">
        <v>5</v>
      </c>
      <c r="B328" s="27" t="s">
        <v>264</v>
      </c>
      <c r="C328" s="28">
        <v>2</v>
      </c>
      <c r="D328" s="13"/>
      <c r="F328" s="14">
        <v>25</v>
      </c>
      <c r="G328" s="15" t="s">
        <v>265</v>
      </c>
      <c r="H328" s="55" t="s">
        <v>266</v>
      </c>
      <c r="I328" s="62" t="s">
        <v>108</v>
      </c>
    </row>
    <row r="329" ht="16.5" spans="1:9">
      <c r="A329" s="26">
        <v>6</v>
      </c>
      <c r="B329" s="27" t="s">
        <v>267</v>
      </c>
      <c r="C329" s="30"/>
      <c r="D329" s="11"/>
      <c r="F329" s="18">
        <v>26</v>
      </c>
      <c r="G329" s="19" t="s">
        <v>268</v>
      </c>
      <c r="H329" s="56"/>
      <c r="I329" s="63" t="s">
        <v>108</v>
      </c>
    </row>
    <row r="330" ht="16.5" spans="1:9">
      <c r="A330" s="18">
        <v>7</v>
      </c>
      <c r="B330" s="19" t="s">
        <v>269</v>
      </c>
      <c r="C330" s="32"/>
      <c r="D330" s="23"/>
      <c r="F330" s="14">
        <v>27</v>
      </c>
      <c r="G330" s="15" t="s">
        <v>270</v>
      </c>
      <c r="H330" s="55" t="s">
        <v>271</v>
      </c>
      <c r="I330" s="62" t="s">
        <v>108</v>
      </c>
    </row>
    <row r="331" ht="16.5" spans="1:9">
      <c r="A331" s="14">
        <v>8</v>
      </c>
      <c r="B331" s="15" t="s">
        <v>272</v>
      </c>
      <c r="C331" s="28">
        <v>3</v>
      </c>
      <c r="D331" s="13"/>
      <c r="F331" s="18">
        <v>28</v>
      </c>
      <c r="G331" s="19" t="s">
        <v>273</v>
      </c>
      <c r="H331" s="56"/>
      <c r="I331" s="64"/>
    </row>
    <row r="332" spans="1:9">
      <c r="A332" s="26">
        <v>9</v>
      </c>
      <c r="B332" s="27" t="s">
        <v>274</v>
      </c>
      <c r="C332" s="30"/>
      <c r="D332" s="11"/>
      <c r="F332" s="14">
        <v>29</v>
      </c>
      <c r="G332" s="15" t="s">
        <v>275</v>
      </c>
      <c r="H332" s="55" t="s">
        <v>276</v>
      </c>
      <c r="I332" s="65"/>
    </row>
    <row r="333" ht="16.5" spans="1:9">
      <c r="A333" s="18">
        <v>10</v>
      </c>
      <c r="B333" s="19" t="s">
        <v>277</v>
      </c>
      <c r="C333" s="32"/>
      <c r="D333" s="23"/>
      <c r="F333" s="26">
        <v>30</v>
      </c>
      <c r="G333" s="27" t="s">
        <v>278</v>
      </c>
      <c r="H333" s="57"/>
      <c r="I333" s="66"/>
    </row>
    <row r="334" spans="1:9">
      <c r="A334" s="14">
        <v>11</v>
      </c>
      <c r="B334" s="15" t="s">
        <v>279</v>
      </c>
      <c r="C334" s="28">
        <v>4</v>
      </c>
      <c r="D334" s="35"/>
      <c r="F334" s="26">
        <v>31</v>
      </c>
      <c r="G334" s="27" t="s">
        <v>280</v>
      </c>
      <c r="H334" s="57"/>
      <c r="I334" s="66"/>
    </row>
    <row r="335" spans="1:9">
      <c r="A335" s="26">
        <v>12</v>
      </c>
      <c r="B335" s="27" t="s">
        <v>281</v>
      </c>
      <c r="C335" s="30"/>
      <c r="D335" s="10"/>
      <c r="F335" s="26">
        <v>32</v>
      </c>
      <c r="G335" s="27" t="s">
        <v>282</v>
      </c>
      <c r="H335" s="57"/>
      <c r="I335" s="66"/>
    </row>
    <row r="336" ht="16.5" spans="1:9">
      <c r="A336" s="18">
        <v>13</v>
      </c>
      <c r="B336" s="19" t="s">
        <v>283</v>
      </c>
      <c r="C336" s="32"/>
      <c r="D336" s="22"/>
      <c r="F336" s="26">
        <v>33</v>
      </c>
      <c r="G336" s="27" t="s">
        <v>284</v>
      </c>
      <c r="H336" s="57"/>
      <c r="I336" s="66"/>
    </row>
    <row r="337" spans="1:9">
      <c r="A337" s="14">
        <v>14</v>
      </c>
      <c r="B337" s="15" t="s">
        <v>285</v>
      </c>
      <c r="C337" s="28">
        <v>5</v>
      </c>
      <c r="D337" s="35"/>
      <c r="F337" s="26">
        <v>34</v>
      </c>
      <c r="G337" s="27" t="s">
        <v>286</v>
      </c>
      <c r="H337" s="57"/>
      <c r="I337" s="66"/>
    </row>
    <row r="338" ht="16.5" spans="1:9">
      <c r="A338" s="18">
        <v>15</v>
      </c>
      <c r="B338" s="19" t="s">
        <v>287</v>
      </c>
      <c r="C338" s="32"/>
      <c r="D338" s="22"/>
      <c r="F338" s="26">
        <v>35</v>
      </c>
      <c r="G338" s="362" t="s">
        <v>288</v>
      </c>
      <c r="H338" s="57"/>
      <c r="I338" s="66"/>
    </row>
    <row r="339" spans="1:9">
      <c r="A339" s="14">
        <v>16</v>
      </c>
      <c r="B339" s="15" t="s">
        <v>289</v>
      </c>
      <c r="C339" s="28">
        <v>6</v>
      </c>
      <c r="D339" s="35"/>
      <c r="F339" s="26">
        <v>36</v>
      </c>
      <c r="G339" s="27" t="s">
        <v>290</v>
      </c>
      <c r="H339" s="57"/>
      <c r="I339" s="66"/>
    </row>
    <row r="340" ht="16.5" spans="1:9">
      <c r="A340" s="18">
        <v>17</v>
      </c>
      <c r="B340" s="19" t="s">
        <v>291</v>
      </c>
      <c r="C340" s="32"/>
      <c r="D340" s="22"/>
      <c r="F340" s="18">
        <v>37</v>
      </c>
      <c r="G340" s="19" t="s">
        <v>292</v>
      </c>
      <c r="H340" s="56"/>
      <c r="I340" s="64"/>
    </row>
    <row r="341" spans="1:9">
      <c r="A341" s="14">
        <v>18</v>
      </c>
      <c r="B341" s="15" t="s">
        <v>293</v>
      </c>
      <c r="C341" s="28" t="s">
        <v>220</v>
      </c>
      <c r="D341" s="35"/>
      <c r="F341" s="26">
        <v>1</v>
      </c>
      <c r="G341" s="27" t="s">
        <v>294</v>
      </c>
      <c r="H341" s="57" t="s">
        <v>295</v>
      </c>
      <c r="I341" s="67"/>
    </row>
    <row r="342" ht="16.5" spans="1:9">
      <c r="A342" s="18">
        <v>19</v>
      </c>
      <c r="B342" s="19" t="s">
        <v>296</v>
      </c>
      <c r="C342" s="32"/>
      <c r="D342" s="22"/>
      <c r="F342" s="18">
        <v>2</v>
      </c>
      <c r="G342" s="19" t="s">
        <v>297</v>
      </c>
      <c r="H342" s="56"/>
      <c r="I342" s="64"/>
    </row>
    <row r="343" ht="32.25" spans="1:4">
      <c r="A343" s="37">
        <v>20</v>
      </c>
      <c r="B343" s="38" t="s">
        <v>298</v>
      </c>
      <c r="C343" s="39" t="s">
        <v>256</v>
      </c>
      <c r="D343" s="37" t="s">
        <v>108</v>
      </c>
    </row>
    <row r="345" ht="16.5" spans="1:4">
      <c r="A345" s="40" t="s">
        <v>83</v>
      </c>
      <c r="B345" s="41" t="s">
        <v>299</v>
      </c>
      <c r="C345" s="41" t="s">
        <v>300</v>
      </c>
      <c r="D345" s="42" t="s">
        <v>118</v>
      </c>
    </row>
    <row r="346" spans="1:4">
      <c r="A346" s="43">
        <v>1</v>
      </c>
      <c r="B346" s="44" t="s">
        <v>301</v>
      </c>
      <c r="C346" s="44" t="s">
        <v>108</v>
      </c>
      <c r="D346" s="45" t="s">
        <v>302</v>
      </c>
    </row>
    <row r="347" spans="1:4">
      <c r="A347" s="46">
        <v>2</v>
      </c>
      <c r="B347" s="47" t="s">
        <v>303</v>
      </c>
      <c r="C347" s="47" t="s">
        <v>130</v>
      </c>
      <c r="D347" s="48" t="s">
        <v>304</v>
      </c>
    </row>
    <row r="348" ht="16.5" spans="1:4">
      <c r="A348" s="49">
        <v>3</v>
      </c>
      <c r="B348" s="50" t="s">
        <v>305</v>
      </c>
      <c r="C348" s="50" t="s">
        <v>126</v>
      </c>
      <c r="D348" s="51" t="s">
        <v>306</v>
      </c>
    </row>
    <row r="350" spans="1:8">
      <c r="A350" s="1" t="s">
        <v>307</v>
      </c>
      <c r="H350" s="1" t="s">
        <v>138</v>
      </c>
    </row>
    <row r="351" spans="1:8">
      <c r="A351" s="1" t="s">
        <v>308</v>
      </c>
      <c r="E351" s="69" t="s">
        <v>309</v>
      </c>
      <c r="F351" s="69"/>
      <c r="H351" s="1" t="s">
        <v>310</v>
      </c>
    </row>
    <row r="354" spans="1:8">
      <c r="A354" s="53" t="s">
        <v>311</v>
      </c>
      <c r="E354" s="53" t="str">
        <f>'DATA SISWA'!M16</f>
        <v>MUHAMMAD JA'FAR SHIDIQ</v>
      </c>
      <c r="F354" s="53"/>
      <c r="H354" s="53" t="s">
        <v>241</v>
      </c>
    </row>
    <row r="355" spans="1:8">
      <c r="A355" s="6" t="s">
        <v>145</v>
      </c>
      <c r="H355" s="6" t="s">
        <v>242</v>
      </c>
    </row>
    <row r="359" spans="1:9">
      <c r="A359" s="2" t="s">
        <v>178</v>
      </c>
      <c r="B359" s="2"/>
      <c r="C359" s="2"/>
      <c r="D359" s="2"/>
      <c r="E359" s="2"/>
      <c r="F359" s="2"/>
      <c r="G359" s="2"/>
      <c r="H359" s="2"/>
      <c r="I359" s="2"/>
    </row>
    <row r="360" spans="1:9">
      <c r="A360" s="2"/>
      <c r="B360" s="2"/>
      <c r="C360" s="2"/>
      <c r="D360" s="2"/>
      <c r="E360" s="2"/>
      <c r="F360" s="2"/>
      <c r="G360" s="2"/>
      <c r="H360" s="2"/>
      <c r="I360" s="2"/>
    </row>
    <row r="361" spans="1:9">
      <c r="A361" s="2"/>
      <c r="B361" s="2"/>
      <c r="C361" s="2"/>
      <c r="D361" s="2"/>
      <c r="E361" s="2"/>
      <c r="F361" s="2"/>
      <c r="G361" s="2"/>
      <c r="H361" s="2"/>
      <c r="I361" s="2"/>
    </row>
    <row r="362" spans="1:9">
      <c r="A362" s="3"/>
      <c r="B362" s="3"/>
      <c r="C362" s="3"/>
      <c r="D362" s="3"/>
      <c r="E362" s="3"/>
      <c r="F362" s="3"/>
      <c r="G362" s="3"/>
      <c r="H362" s="3"/>
      <c r="I362" s="3"/>
    </row>
    <row r="364" spans="1:4">
      <c r="A364" s="4" t="s">
        <v>179</v>
      </c>
      <c r="B364" s="4"/>
      <c r="C364" s="5">
        <f>'DATA SISWA'!B17</f>
        <v>0</v>
      </c>
      <c r="D364" s="5"/>
    </row>
    <row r="365" spans="1:4">
      <c r="A365" s="4" t="s">
        <v>113</v>
      </c>
      <c r="B365" s="4"/>
      <c r="C365" s="6" t="s">
        <v>157</v>
      </c>
      <c r="D365" s="6"/>
    </row>
    <row r="367" ht="16.5" spans="1:9">
      <c r="A367" s="7" t="s">
        <v>83</v>
      </c>
      <c r="B367" s="7" t="s">
        <v>253</v>
      </c>
      <c r="C367" s="8" t="s">
        <v>180</v>
      </c>
      <c r="D367" s="7" t="s">
        <v>117</v>
      </c>
      <c r="F367" s="9" t="s">
        <v>83</v>
      </c>
      <c r="G367" s="9" t="s">
        <v>253</v>
      </c>
      <c r="H367" s="9" t="s">
        <v>180</v>
      </c>
      <c r="I367" s="61" t="s">
        <v>117</v>
      </c>
    </row>
    <row r="368" spans="1:9">
      <c r="A368" s="10">
        <v>1</v>
      </c>
      <c r="B368" s="11" t="s">
        <v>254</v>
      </c>
      <c r="C368" s="12">
        <v>1</v>
      </c>
      <c r="D368" s="13"/>
      <c r="F368" s="14">
        <v>21</v>
      </c>
      <c r="G368" s="15" t="s">
        <v>255</v>
      </c>
      <c r="H368" s="21" t="s">
        <v>256</v>
      </c>
      <c r="I368" s="70"/>
    </row>
    <row r="369" ht="16.5" spans="1:9">
      <c r="A369" s="10">
        <v>2</v>
      </c>
      <c r="B369" s="11" t="s">
        <v>257</v>
      </c>
      <c r="C369" s="17"/>
      <c r="D369" s="11"/>
      <c r="F369" s="18">
        <v>22</v>
      </c>
      <c r="G369" s="19" t="s">
        <v>258</v>
      </c>
      <c r="H369" s="25"/>
      <c r="I369" s="71"/>
    </row>
    <row r="370" spans="1:9">
      <c r="A370" s="10">
        <v>3</v>
      </c>
      <c r="B370" s="11" t="s">
        <v>259</v>
      </c>
      <c r="C370" s="17"/>
      <c r="D370" s="11"/>
      <c r="F370" s="14">
        <v>23</v>
      </c>
      <c r="G370" s="15" t="s">
        <v>260</v>
      </c>
      <c r="H370" s="21" t="s">
        <v>261</v>
      </c>
      <c r="I370" s="70"/>
    </row>
    <row r="371" ht="16.5" spans="1:9">
      <c r="A371" s="22">
        <v>4</v>
      </c>
      <c r="B371" s="23" t="s">
        <v>262</v>
      </c>
      <c r="C371" s="24"/>
      <c r="D371" s="23"/>
      <c r="F371" s="18">
        <v>24</v>
      </c>
      <c r="G371" s="19" t="s">
        <v>263</v>
      </c>
      <c r="H371" s="25"/>
      <c r="I371" s="71"/>
    </row>
    <row r="372" spans="1:9">
      <c r="A372" s="26">
        <v>5</v>
      </c>
      <c r="B372" s="27" t="s">
        <v>264</v>
      </c>
      <c r="C372" s="28">
        <v>2</v>
      </c>
      <c r="D372" s="13"/>
      <c r="F372" s="14">
        <v>25</v>
      </c>
      <c r="G372" s="15" t="s">
        <v>265</v>
      </c>
      <c r="H372" s="55" t="s">
        <v>266</v>
      </c>
      <c r="I372" s="70"/>
    </row>
    <row r="373" ht="16.5" spans="1:9">
      <c r="A373" s="26">
        <v>6</v>
      </c>
      <c r="B373" s="27" t="s">
        <v>267</v>
      </c>
      <c r="C373" s="30"/>
      <c r="D373" s="11"/>
      <c r="F373" s="18">
        <v>26</v>
      </c>
      <c r="G373" s="19" t="s">
        <v>268</v>
      </c>
      <c r="H373" s="56"/>
      <c r="I373" s="71"/>
    </row>
    <row r="374" ht="16.5" spans="1:9">
      <c r="A374" s="18">
        <v>7</v>
      </c>
      <c r="B374" s="19" t="s">
        <v>269</v>
      </c>
      <c r="C374" s="32"/>
      <c r="D374" s="23"/>
      <c r="F374" s="14">
        <v>27</v>
      </c>
      <c r="G374" s="15" t="s">
        <v>270</v>
      </c>
      <c r="H374" s="55" t="s">
        <v>271</v>
      </c>
      <c r="I374" s="70"/>
    </row>
    <row r="375" ht="16.5" spans="1:9">
      <c r="A375" s="14">
        <v>8</v>
      </c>
      <c r="B375" s="15" t="s">
        <v>272</v>
      </c>
      <c r="C375" s="28">
        <v>3</v>
      </c>
      <c r="D375" s="13"/>
      <c r="F375" s="18">
        <v>28</v>
      </c>
      <c r="G375" s="19" t="s">
        <v>273</v>
      </c>
      <c r="H375" s="56"/>
      <c r="I375" s="71"/>
    </row>
    <row r="376" spans="1:9">
      <c r="A376" s="26">
        <v>9</v>
      </c>
      <c r="B376" s="27" t="s">
        <v>274</v>
      </c>
      <c r="C376" s="30"/>
      <c r="D376" s="11"/>
      <c r="F376" s="14">
        <v>29</v>
      </c>
      <c r="G376" s="15" t="s">
        <v>275</v>
      </c>
      <c r="H376" s="55" t="s">
        <v>276</v>
      </c>
      <c r="I376" s="70"/>
    </row>
    <row r="377" ht="16.5" spans="1:9">
      <c r="A377" s="18">
        <v>10</v>
      </c>
      <c r="B377" s="19" t="s">
        <v>277</v>
      </c>
      <c r="C377" s="32"/>
      <c r="D377" s="23"/>
      <c r="F377" s="26">
        <v>30</v>
      </c>
      <c r="G377" s="27" t="s">
        <v>278</v>
      </c>
      <c r="H377" s="57"/>
      <c r="I377" s="72"/>
    </row>
    <row r="378" ht="16.5" spans="1:9">
      <c r="A378" s="14">
        <v>11</v>
      </c>
      <c r="B378" s="15" t="s">
        <v>279</v>
      </c>
      <c r="C378" s="28">
        <v>4</v>
      </c>
      <c r="D378" s="35" t="s">
        <v>108</v>
      </c>
      <c r="F378" s="26">
        <v>31</v>
      </c>
      <c r="G378" s="27" t="s">
        <v>280</v>
      </c>
      <c r="H378" s="57"/>
      <c r="I378" s="72"/>
    </row>
    <row r="379" ht="16.5" spans="1:9">
      <c r="A379" s="26">
        <v>12</v>
      </c>
      <c r="B379" s="27" t="s">
        <v>281</v>
      </c>
      <c r="C379" s="30"/>
      <c r="D379" s="35" t="s">
        <v>108</v>
      </c>
      <c r="F379" s="26">
        <v>32</v>
      </c>
      <c r="G379" s="27" t="s">
        <v>282</v>
      </c>
      <c r="H379" s="57"/>
      <c r="I379" s="72"/>
    </row>
    <row r="380" ht="16.5" spans="1:9">
      <c r="A380" s="18">
        <v>13</v>
      </c>
      <c r="B380" s="19" t="s">
        <v>283</v>
      </c>
      <c r="C380" s="32"/>
      <c r="D380" s="35" t="s">
        <v>108</v>
      </c>
      <c r="F380" s="26">
        <v>33</v>
      </c>
      <c r="G380" s="27" t="s">
        <v>284</v>
      </c>
      <c r="H380" s="57"/>
      <c r="I380" s="72"/>
    </row>
    <row r="381" ht="16.5" spans="1:9">
      <c r="A381" s="14">
        <v>14</v>
      </c>
      <c r="B381" s="15" t="s">
        <v>285</v>
      </c>
      <c r="C381" s="28">
        <v>5</v>
      </c>
      <c r="D381" s="35" t="s">
        <v>108</v>
      </c>
      <c r="F381" s="26">
        <v>34</v>
      </c>
      <c r="G381" s="27" t="s">
        <v>286</v>
      </c>
      <c r="H381" s="57"/>
      <c r="I381" s="72"/>
    </row>
    <row r="382" ht="16.5" spans="1:9">
      <c r="A382" s="18">
        <v>15</v>
      </c>
      <c r="B382" s="19" t="s">
        <v>287</v>
      </c>
      <c r="C382" s="32"/>
      <c r="D382" s="35" t="s">
        <v>108</v>
      </c>
      <c r="F382" s="26">
        <v>35</v>
      </c>
      <c r="G382" s="362" t="s">
        <v>288</v>
      </c>
      <c r="H382" s="57"/>
      <c r="I382" s="72"/>
    </row>
    <row r="383" ht="16.5" spans="1:9">
      <c r="A383" s="14">
        <v>16</v>
      </c>
      <c r="B383" s="15" t="s">
        <v>289</v>
      </c>
      <c r="C383" s="28">
        <v>6</v>
      </c>
      <c r="D383" s="35" t="s">
        <v>108</v>
      </c>
      <c r="F383" s="26">
        <v>36</v>
      </c>
      <c r="G383" s="27" t="s">
        <v>290</v>
      </c>
      <c r="H383" s="57"/>
      <c r="I383" s="72"/>
    </row>
    <row r="384" ht="16.5" spans="1:9">
      <c r="A384" s="18">
        <v>17</v>
      </c>
      <c r="B384" s="19" t="s">
        <v>291</v>
      </c>
      <c r="C384" s="32"/>
      <c r="D384" s="35" t="s">
        <v>108</v>
      </c>
      <c r="F384" s="18">
        <v>37</v>
      </c>
      <c r="G384" s="19" t="s">
        <v>292</v>
      </c>
      <c r="H384" s="56"/>
      <c r="I384" s="71"/>
    </row>
    <row r="385" ht="16.5" spans="1:9">
      <c r="A385" s="14">
        <v>18</v>
      </c>
      <c r="B385" s="15" t="s">
        <v>293</v>
      </c>
      <c r="C385" s="28" t="s">
        <v>220</v>
      </c>
      <c r="D385" s="35" t="s">
        <v>108</v>
      </c>
      <c r="F385" s="26">
        <v>1</v>
      </c>
      <c r="G385" s="27" t="s">
        <v>294</v>
      </c>
      <c r="H385" s="57" t="s">
        <v>295</v>
      </c>
      <c r="I385" s="72"/>
    </row>
    <row r="386" ht="16.5" spans="1:9">
      <c r="A386" s="18">
        <v>19</v>
      </c>
      <c r="B386" s="19" t="s">
        <v>296</v>
      </c>
      <c r="C386" s="32"/>
      <c r="D386" s="35" t="s">
        <v>108</v>
      </c>
      <c r="F386" s="18">
        <v>2</v>
      </c>
      <c r="G386" s="19" t="s">
        <v>297</v>
      </c>
      <c r="H386" s="56"/>
      <c r="I386" s="71"/>
    </row>
    <row r="387" ht="32.25" spans="1:4">
      <c r="A387" s="37">
        <v>20</v>
      </c>
      <c r="B387" s="38" t="s">
        <v>298</v>
      </c>
      <c r="C387" s="39" t="s">
        <v>256</v>
      </c>
      <c r="D387" s="19"/>
    </row>
    <row r="389" ht="16.5" spans="1:4">
      <c r="A389" s="40" t="s">
        <v>83</v>
      </c>
      <c r="B389" s="41" t="s">
        <v>299</v>
      </c>
      <c r="C389" s="41" t="s">
        <v>300</v>
      </c>
      <c r="D389" s="42" t="s">
        <v>118</v>
      </c>
    </row>
    <row r="390" spans="1:4">
      <c r="A390" s="43">
        <v>1</v>
      </c>
      <c r="B390" s="44" t="s">
        <v>301</v>
      </c>
      <c r="C390" s="44" t="s">
        <v>108</v>
      </c>
      <c r="D390" s="45" t="s">
        <v>302</v>
      </c>
    </row>
    <row r="391" spans="1:4">
      <c r="A391" s="46">
        <v>2</v>
      </c>
      <c r="B391" s="47" t="s">
        <v>303</v>
      </c>
      <c r="C391" s="47" t="s">
        <v>130</v>
      </c>
      <c r="D391" s="48" t="s">
        <v>304</v>
      </c>
    </row>
    <row r="392" ht="16.5" spans="1:4">
      <c r="A392" s="49">
        <v>3</v>
      </c>
      <c r="B392" s="50" t="s">
        <v>305</v>
      </c>
      <c r="C392" s="50" t="s">
        <v>126</v>
      </c>
      <c r="D392" s="51" t="s">
        <v>306</v>
      </c>
    </row>
    <row r="394" spans="1:8">
      <c r="A394" s="1" t="s">
        <v>307</v>
      </c>
      <c r="H394" s="1" t="s">
        <v>138</v>
      </c>
    </row>
    <row r="395" spans="1:8">
      <c r="A395" s="1" t="s">
        <v>308</v>
      </c>
      <c r="E395" s="52" t="s">
        <v>309</v>
      </c>
      <c r="F395" s="52"/>
      <c r="H395" s="1" t="s">
        <v>310</v>
      </c>
    </row>
    <row r="398" spans="1:8">
      <c r="A398" s="53" t="s">
        <v>311</v>
      </c>
      <c r="E398" s="54">
        <f>'DATA SISWA'!M17</f>
        <v>0</v>
      </c>
      <c r="F398" s="54"/>
      <c r="H398" s="53" t="s">
        <v>312</v>
      </c>
    </row>
    <row r="399" spans="1:8">
      <c r="A399" s="6" t="s">
        <v>145</v>
      </c>
      <c r="H399" s="6" t="s">
        <v>242</v>
      </c>
    </row>
    <row r="403" spans="1:9">
      <c r="A403" s="2" t="s">
        <v>178</v>
      </c>
      <c r="B403" s="2"/>
      <c r="C403" s="2"/>
      <c r="D403" s="2"/>
      <c r="E403" s="2"/>
      <c r="F403" s="2"/>
      <c r="G403" s="2"/>
      <c r="H403" s="2"/>
      <c r="I403" s="2"/>
    </row>
    <row r="404" spans="1:9">
      <c r="A404" s="2"/>
      <c r="B404" s="2"/>
      <c r="C404" s="2"/>
      <c r="D404" s="2"/>
      <c r="E404" s="2"/>
      <c r="F404" s="2"/>
      <c r="G404" s="2"/>
      <c r="H404" s="2"/>
      <c r="I404" s="2"/>
    </row>
    <row r="405" spans="1:9">
      <c r="A405" s="2"/>
      <c r="B405" s="2"/>
      <c r="C405" s="2"/>
      <c r="D405" s="2"/>
      <c r="E405" s="2"/>
      <c r="F405" s="2"/>
      <c r="G405" s="2"/>
      <c r="H405" s="2"/>
      <c r="I405" s="2"/>
    </row>
    <row r="406" spans="1:9">
      <c r="A406" s="3"/>
      <c r="B406" s="3"/>
      <c r="C406" s="3"/>
      <c r="D406" s="3"/>
      <c r="E406" s="3"/>
      <c r="F406" s="3"/>
      <c r="G406" s="3"/>
      <c r="H406" s="3"/>
      <c r="I406" s="3"/>
    </row>
    <row r="408" spans="1:4">
      <c r="A408" s="4" t="s">
        <v>179</v>
      </c>
      <c r="B408" s="4"/>
      <c r="C408" s="5">
        <f>'DATA SISWA'!B18</f>
        <v>0</v>
      </c>
      <c r="D408" s="5"/>
    </row>
    <row r="409" spans="1:4">
      <c r="A409" s="4" t="s">
        <v>113</v>
      </c>
      <c r="B409" s="4"/>
      <c r="C409" s="6" t="s">
        <v>157</v>
      </c>
      <c r="D409" s="6"/>
    </row>
    <row r="411" ht="16.5" spans="1:9">
      <c r="A411" s="7" t="s">
        <v>83</v>
      </c>
      <c r="B411" s="7" t="s">
        <v>253</v>
      </c>
      <c r="C411" s="8" t="s">
        <v>180</v>
      </c>
      <c r="D411" s="7" t="s">
        <v>117</v>
      </c>
      <c r="F411" s="9" t="s">
        <v>83</v>
      </c>
      <c r="G411" s="9" t="s">
        <v>253</v>
      </c>
      <c r="H411" s="9" t="s">
        <v>180</v>
      </c>
      <c r="I411" s="61" t="s">
        <v>117</v>
      </c>
    </row>
    <row r="412" spans="1:9">
      <c r="A412" s="10">
        <v>1</v>
      </c>
      <c r="B412" s="11" t="s">
        <v>254</v>
      </c>
      <c r="C412" s="12">
        <v>1</v>
      </c>
      <c r="D412" s="13"/>
      <c r="F412" s="14">
        <v>21</v>
      </c>
      <c r="G412" s="15" t="s">
        <v>255</v>
      </c>
      <c r="H412" s="21" t="s">
        <v>256</v>
      </c>
      <c r="I412" s="70"/>
    </row>
    <row r="413" ht="16.5" spans="1:9">
      <c r="A413" s="10">
        <v>2</v>
      </c>
      <c r="B413" s="11" t="s">
        <v>257</v>
      </c>
      <c r="C413" s="17"/>
      <c r="D413" s="11"/>
      <c r="F413" s="18">
        <v>22</v>
      </c>
      <c r="G413" s="19" t="s">
        <v>258</v>
      </c>
      <c r="H413" s="25"/>
      <c r="I413" s="71"/>
    </row>
    <row r="414" spans="1:9">
      <c r="A414" s="10">
        <v>3</v>
      </c>
      <c r="B414" s="11" t="s">
        <v>259</v>
      </c>
      <c r="C414" s="17"/>
      <c r="D414" s="11"/>
      <c r="F414" s="14">
        <v>23</v>
      </c>
      <c r="G414" s="15" t="s">
        <v>260</v>
      </c>
      <c r="H414" s="21" t="s">
        <v>261</v>
      </c>
      <c r="I414" s="70"/>
    </row>
    <row r="415" ht="16.5" spans="1:9">
      <c r="A415" s="22">
        <v>4</v>
      </c>
      <c r="B415" s="23" t="s">
        <v>262</v>
      </c>
      <c r="C415" s="24"/>
      <c r="D415" s="23"/>
      <c r="F415" s="18">
        <v>24</v>
      </c>
      <c r="G415" s="19" t="s">
        <v>263</v>
      </c>
      <c r="H415" s="25"/>
      <c r="I415" s="71"/>
    </row>
    <row r="416" spans="1:9">
      <c r="A416" s="26">
        <v>5</v>
      </c>
      <c r="B416" s="27" t="s">
        <v>264</v>
      </c>
      <c r="C416" s="28">
        <v>2</v>
      </c>
      <c r="D416" s="13"/>
      <c r="F416" s="14">
        <v>25</v>
      </c>
      <c r="G416" s="15" t="s">
        <v>265</v>
      </c>
      <c r="H416" s="55" t="s">
        <v>266</v>
      </c>
      <c r="I416" s="70"/>
    </row>
    <row r="417" ht="16.5" spans="1:9">
      <c r="A417" s="26">
        <v>6</v>
      </c>
      <c r="B417" s="27" t="s">
        <v>267</v>
      </c>
      <c r="C417" s="30"/>
      <c r="D417" s="11"/>
      <c r="F417" s="18">
        <v>26</v>
      </c>
      <c r="G417" s="19" t="s">
        <v>268</v>
      </c>
      <c r="H417" s="56"/>
      <c r="I417" s="71"/>
    </row>
    <row r="418" ht="16.5" spans="1:9">
      <c r="A418" s="18">
        <v>7</v>
      </c>
      <c r="B418" s="19" t="s">
        <v>269</v>
      </c>
      <c r="C418" s="32"/>
      <c r="D418" s="23"/>
      <c r="F418" s="14">
        <v>27</v>
      </c>
      <c r="G418" s="15" t="s">
        <v>270</v>
      </c>
      <c r="H418" s="55" t="s">
        <v>271</v>
      </c>
      <c r="I418" s="70"/>
    </row>
    <row r="419" ht="16.5" spans="1:9">
      <c r="A419" s="14">
        <v>8</v>
      </c>
      <c r="B419" s="15" t="s">
        <v>272</v>
      </c>
      <c r="C419" s="28">
        <v>3</v>
      </c>
      <c r="D419" s="13"/>
      <c r="F419" s="18">
        <v>28</v>
      </c>
      <c r="G419" s="19" t="s">
        <v>273</v>
      </c>
      <c r="H419" s="56"/>
      <c r="I419" s="71"/>
    </row>
    <row r="420" spans="1:9">
      <c r="A420" s="26">
        <v>9</v>
      </c>
      <c r="B420" s="27" t="s">
        <v>274</v>
      </c>
      <c r="C420" s="30"/>
      <c r="D420" s="11"/>
      <c r="F420" s="14">
        <v>29</v>
      </c>
      <c r="G420" s="15" t="s">
        <v>275</v>
      </c>
      <c r="H420" s="55" t="s">
        <v>276</v>
      </c>
      <c r="I420" s="70"/>
    </row>
    <row r="421" ht="16.5" spans="1:9">
      <c r="A421" s="18">
        <v>10</v>
      </c>
      <c r="B421" s="19" t="s">
        <v>277</v>
      </c>
      <c r="C421" s="32"/>
      <c r="D421" s="23"/>
      <c r="F421" s="26">
        <v>30</v>
      </c>
      <c r="G421" s="27" t="s">
        <v>278</v>
      </c>
      <c r="H421" s="57"/>
      <c r="I421" s="72"/>
    </row>
    <row r="422" ht="16.5" spans="1:9">
      <c r="A422" s="14">
        <v>11</v>
      </c>
      <c r="B422" s="15" t="s">
        <v>279</v>
      </c>
      <c r="C422" s="28">
        <v>4</v>
      </c>
      <c r="D422" s="35" t="s">
        <v>108</v>
      </c>
      <c r="F422" s="26">
        <v>31</v>
      </c>
      <c r="G422" s="27" t="s">
        <v>280</v>
      </c>
      <c r="H422" s="57"/>
      <c r="I422" s="72"/>
    </row>
    <row r="423" ht="16.5" spans="1:9">
      <c r="A423" s="26">
        <v>12</v>
      </c>
      <c r="B423" s="27" t="s">
        <v>281</v>
      </c>
      <c r="C423" s="30"/>
      <c r="D423" s="35" t="s">
        <v>108</v>
      </c>
      <c r="F423" s="26">
        <v>32</v>
      </c>
      <c r="G423" s="27" t="s">
        <v>282</v>
      </c>
      <c r="H423" s="57"/>
      <c r="I423" s="72"/>
    </row>
    <row r="424" ht="16.5" spans="1:9">
      <c r="A424" s="18">
        <v>13</v>
      </c>
      <c r="B424" s="19" t="s">
        <v>283</v>
      </c>
      <c r="C424" s="32"/>
      <c r="D424" s="35" t="s">
        <v>108</v>
      </c>
      <c r="F424" s="26">
        <v>33</v>
      </c>
      <c r="G424" s="27" t="s">
        <v>284</v>
      </c>
      <c r="H424" s="57"/>
      <c r="I424" s="72"/>
    </row>
    <row r="425" ht="16.5" spans="1:9">
      <c r="A425" s="14">
        <v>14</v>
      </c>
      <c r="B425" s="15" t="s">
        <v>285</v>
      </c>
      <c r="C425" s="28">
        <v>5</v>
      </c>
      <c r="D425" s="35" t="s">
        <v>108</v>
      </c>
      <c r="F425" s="26">
        <v>34</v>
      </c>
      <c r="G425" s="27" t="s">
        <v>286</v>
      </c>
      <c r="H425" s="57"/>
      <c r="I425" s="72"/>
    </row>
    <row r="426" ht="16.5" spans="1:9">
      <c r="A426" s="18">
        <v>15</v>
      </c>
      <c r="B426" s="19" t="s">
        <v>287</v>
      </c>
      <c r="C426" s="32"/>
      <c r="D426" s="35" t="s">
        <v>108</v>
      </c>
      <c r="F426" s="26">
        <v>35</v>
      </c>
      <c r="G426" s="362" t="s">
        <v>288</v>
      </c>
      <c r="H426" s="57"/>
      <c r="I426" s="72"/>
    </row>
    <row r="427" ht="16.5" spans="1:9">
      <c r="A427" s="14">
        <v>16</v>
      </c>
      <c r="B427" s="15" t="s">
        <v>289</v>
      </c>
      <c r="C427" s="28">
        <v>6</v>
      </c>
      <c r="D427" s="35" t="s">
        <v>108</v>
      </c>
      <c r="F427" s="26">
        <v>36</v>
      </c>
      <c r="G427" s="27" t="s">
        <v>290</v>
      </c>
      <c r="H427" s="57"/>
      <c r="I427" s="72"/>
    </row>
    <row r="428" ht="16.5" spans="1:9">
      <c r="A428" s="18">
        <v>17</v>
      </c>
      <c r="B428" s="19" t="s">
        <v>291</v>
      </c>
      <c r="C428" s="32"/>
      <c r="D428" s="35" t="s">
        <v>108</v>
      </c>
      <c r="F428" s="18">
        <v>37</v>
      </c>
      <c r="G428" s="19" t="s">
        <v>292</v>
      </c>
      <c r="H428" s="56"/>
      <c r="I428" s="71"/>
    </row>
    <row r="429" ht="16.5" spans="1:9">
      <c r="A429" s="14">
        <v>18</v>
      </c>
      <c r="B429" s="15" t="s">
        <v>293</v>
      </c>
      <c r="C429" s="28" t="s">
        <v>220</v>
      </c>
      <c r="D429" s="35" t="s">
        <v>108</v>
      </c>
      <c r="F429" s="26">
        <v>1</v>
      </c>
      <c r="G429" s="27" t="s">
        <v>294</v>
      </c>
      <c r="H429" s="57" t="s">
        <v>295</v>
      </c>
      <c r="I429" s="72"/>
    </row>
    <row r="430" ht="16.5" spans="1:9">
      <c r="A430" s="18">
        <v>19</v>
      </c>
      <c r="B430" s="19" t="s">
        <v>296</v>
      </c>
      <c r="C430" s="32"/>
      <c r="D430" s="35" t="s">
        <v>108</v>
      </c>
      <c r="F430" s="18">
        <v>2</v>
      </c>
      <c r="G430" s="19" t="s">
        <v>297</v>
      </c>
      <c r="H430" s="56"/>
      <c r="I430" s="71"/>
    </row>
    <row r="431" ht="32.25" spans="1:4">
      <c r="A431" s="37">
        <v>20</v>
      </c>
      <c r="B431" s="38" t="s">
        <v>298</v>
      </c>
      <c r="C431" s="39" t="s">
        <v>256</v>
      </c>
      <c r="D431" s="19"/>
    </row>
    <row r="433" ht="16.5" spans="1:4">
      <c r="A433" s="40" t="s">
        <v>83</v>
      </c>
      <c r="B433" s="41" t="s">
        <v>299</v>
      </c>
      <c r="C433" s="41" t="s">
        <v>300</v>
      </c>
      <c r="D433" s="42" t="s">
        <v>118</v>
      </c>
    </row>
    <row r="434" spans="1:4">
      <c r="A434" s="43">
        <v>1</v>
      </c>
      <c r="B434" s="44" t="s">
        <v>301</v>
      </c>
      <c r="C434" s="44" t="s">
        <v>108</v>
      </c>
      <c r="D434" s="45" t="s">
        <v>302</v>
      </c>
    </row>
    <row r="435" spans="1:4">
      <c r="A435" s="46">
        <v>2</v>
      </c>
      <c r="B435" s="47" t="s">
        <v>303</v>
      </c>
      <c r="C435" s="47" t="s">
        <v>130</v>
      </c>
      <c r="D435" s="48" t="s">
        <v>304</v>
      </c>
    </row>
    <row r="436" ht="16.5" spans="1:4">
      <c r="A436" s="49">
        <v>3</v>
      </c>
      <c r="B436" s="50" t="s">
        <v>305</v>
      </c>
      <c r="C436" s="50" t="s">
        <v>126</v>
      </c>
      <c r="D436" s="51" t="s">
        <v>306</v>
      </c>
    </row>
    <row r="438" spans="1:8">
      <c r="A438" s="1" t="s">
        <v>307</v>
      </c>
      <c r="H438" s="1" t="s">
        <v>313</v>
      </c>
    </row>
    <row r="439" spans="1:8">
      <c r="A439" s="1" t="s">
        <v>308</v>
      </c>
      <c r="E439" s="52" t="s">
        <v>309</v>
      </c>
      <c r="F439" s="52"/>
      <c r="H439" s="1" t="s">
        <v>310</v>
      </c>
    </row>
    <row r="442" spans="1:8">
      <c r="A442" s="53" t="s">
        <v>311</v>
      </c>
      <c r="E442" s="54">
        <f>'DATA SISWA'!M18</f>
        <v>0</v>
      </c>
      <c r="F442" s="54"/>
      <c r="H442" s="53" t="s">
        <v>312</v>
      </c>
    </row>
    <row r="443" spans="1:8">
      <c r="A443" s="6" t="s">
        <v>145</v>
      </c>
      <c r="H443" s="6" t="s">
        <v>242</v>
      </c>
    </row>
  </sheetData>
  <mergeCells count="184">
    <mergeCell ref="A6:B6"/>
    <mergeCell ref="C6:D6"/>
    <mergeCell ref="A7:B7"/>
    <mergeCell ref="E37:F37"/>
    <mergeCell ref="E40:F40"/>
    <mergeCell ref="A51:B51"/>
    <mergeCell ref="C51:D51"/>
    <mergeCell ref="A52:B52"/>
    <mergeCell ref="E82:F82"/>
    <mergeCell ref="A96:B96"/>
    <mergeCell ref="C96:D96"/>
    <mergeCell ref="A97:B97"/>
    <mergeCell ref="E127:F127"/>
    <mergeCell ref="E130:F130"/>
    <mergeCell ref="A141:B141"/>
    <mergeCell ref="A142:B142"/>
    <mergeCell ref="E172:F172"/>
    <mergeCell ref="E175:F175"/>
    <mergeCell ref="A186:B186"/>
    <mergeCell ref="A187:B187"/>
    <mergeCell ref="E217:F217"/>
    <mergeCell ref="E220:F220"/>
    <mergeCell ref="A231:B231"/>
    <mergeCell ref="C231:D231"/>
    <mergeCell ref="A232:B232"/>
    <mergeCell ref="D262:F262"/>
    <mergeCell ref="D265:F265"/>
    <mergeCell ref="A276:B276"/>
    <mergeCell ref="A277:B277"/>
    <mergeCell ref="E307:F307"/>
    <mergeCell ref="E310:F310"/>
    <mergeCell ref="A320:B320"/>
    <mergeCell ref="A321:B321"/>
    <mergeCell ref="E351:F351"/>
    <mergeCell ref="A364:B364"/>
    <mergeCell ref="C364:D364"/>
    <mergeCell ref="A365:B365"/>
    <mergeCell ref="E395:F395"/>
    <mergeCell ref="E398:F398"/>
    <mergeCell ref="A408:B408"/>
    <mergeCell ref="C408:D408"/>
    <mergeCell ref="A409:B409"/>
    <mergeCell ref="E439:F439"/>
    <mergeCell ref="E442:F442"/>
    <mergeCell ref="C10:C13"/>
    <mergeCell ref="C14:C16"/>
    <mergeCell ref="C17:C19"/>
    <mergeCell ref="C20:C22"/>
    <mergeCell ref="C23:C24"/>
    <mergeCell ref="C25:C26"/>
    <mergeCell ref="C27:C28"/>
    <mergeCell ref="C55:C58"/>
    <mergeCell ref="C59:C61"/>
    <mergeCell ref="C62:C64"/>
    <mergeCell ref="C65:C67"/>
    <mergeCell ref="C68:C69"/>
    <mergeCell ref="C70:C71"/>
    <mergeCell ref="C72:C73"/>
    <mergeCell ref="C100:C103"/>
    <mergeCell ref="C104:C106"/>
    <mergeCell ref="C107:C109"/>
    <mergeCell ref="C110:C112"/>
    <mergeCell ref="C113:C114"/>
    <mergeCell ref="C115:C116"/>
    <mergeCell ref="C117:C118"/>
    <mergeCell ref="C145:C148"/>
    <mergeCell ref="C149:C151"/>
    <mergeCell ref="C152:C154"/>
    <mergeCell ref="C155:C157"/>
    <mergeCell ref="C158:C159"/>
    <mergeCell ref="C160:C161"/>
    <mergeCell ref="C162:C163"/>
    <mergeCell ref="C190:C193"/>
    <mergeCell ref="C194:C196"/>
    <mergeCell ref="C197:C199"/>
    <mergeCell ref="C200:C202"/>
    <mergeCell ref="C203:C204"/>
    <mergeCell ref="C205:C206"/>
    <mergeCell ref="C207:C208"/>
    <mergeCell ref="C235:C238"/>
    <mergeCell ref="C239:C241"/>
    <mergeCell ref="C242:C244"/>
    <mergeCell ref="C245:C247"/>
    <mergeCell ref="C248:C249"/>
    <mergeCell ref="C250:C251"/>
    <mergeCell ref="C252:C253"/>
    <mergeCell ref="C280:C283"/>
    <mergeCell ref="C284:C286"/>
    <mergeCell ref="C287:C289"/>
    <mergeCell ref="C290:C292"/>
    <mergeCell ref="C293:C294"/>
    <mergeCell ref="C295:C296"/>
    <mergeCell ref="C297:C298"/>
    <mergeCell ref="C324:C327"/>
    <mergeCell ref="C328:C330"/>
    <mergeCell ref="C331:C333"/>
    <mergeCell ref="C334:C336"/>
    <mergeCell ref="C337:C338"/>
    <mergeCell ref="C339:C340"/>
    <mergeCell ref="C341:C342"/>
    <mergeCell ref="C368:C371"/>
    <mergeCell ref="C372:C374"/>
    <mergeCell ref="C375:C377"/>
    <mergeCell ref="C378:C380"/>
    <mergeCell ref="C381:C382"/>
    <mergeCell ref="C383:C384"/>
    <mergeCell ref="C385:C386"/>
    <mergeCell ref="C412:C415"/>
    <mergeCell ref="C416:C418"/>
    <mergeCell ref="C419:C421"/>
    <mergeCell ref="C422:C424"/>
    <mergeCell ref="C425:C426"/>
    <mergeCell ref="C427:C428"/>
    <mergeCell ref="C429:C430"/>
    <mergeCell ref="H10:H11"/>
    <mergeCell ref="H12:H13"/>
    <mergeCell ref="H14:H15"/>
    <mergeCell ref="H16:H17"/>
    <mergeCell ref="H18:H26"/>
    <mergeCell ref="H27:H28"/>
    <mergeCell ref="H55:H56"/>
    <mergeCell ref="H57:H58"/>
    <mergeCell ref="H59:H60"/>
    <mergeCell ref="H61:H62"/>
    <mergeCell ref="H63:H71"/>
    <mergeCell ref="H72:H73"/>
    <mergeCell ref="H100:H101"/>
    <mergeCell ref="H102:H103"/>
    <mergeCell ref="H104:H105"/>
    <mergeCell ref="H106:H107"/>
    <mergeCell ref="H108:H116"/>
    <mergeCell ref="H117:H118"/>
    <mergeCell ref="H145:H146"/>
    <mergeCell ref="H147:H148"/>
    <mergeCell ref="H149:H150"/>
    <mergeCell ref="H151:H152"/>
    <mergeCell ref="H153:H161"/>
    <mergeCell ref="H162:H163"/>
    <mergeCell ref="H190:H191"/>
    <mergeCell ref="H192:H193"/>
    <mergeCell ref="H194:H195"/>
    <mergeCell ref="H196:H197"/>
    <mergeCell ref="H198:H206"/>
    <mergeCell ref="H207:H208"/>
    <mergeCell ref="H235:H236"/>
    <mergeCell ref="H237:H238"/>
    <mergeCell ref="H239:H240"/>
    <mergeCell ref="H241:H242"/>
    <mergeCell ref="H243:H251"/>
    <mergeCell ref="H252:H253"/>
    <mergeCell ref="H280:H281"/>
    <mergeCell ref="H282:H283"/>
    <mergeCell ref="H284:H285"/>
    <mergeCell ref="H286:H287"/>
    <mergeCell ref="H288:H296"/>
    <mergeCell ref="H297:H298"/>
    <mergeCell ref="H324:H325"/>
    <mergeCell ref="H326:H327"/>
    <mergeCell ref="H328:H329"/>
    <mergeCell ref="H330:H331"/>
    <mergeCell ref="H332:H340"/>
    <mergeCell ref="H341:H342"/>
    <mergeCell ref="H368:H369"/>
    <mergeCell ref="H370:H371"/>
    <mergeCell ref="H372:H373"/>
    <mergeCell ref="H374:H375"/>
    <mergeCell ref="H376:H384"/>
    <mergeCell ref="H385:H386"/>
    <mergeCell ref="H412:H413"/>
    <mergeCell ref="H414:H415"/>
    <mergeCell ref="H416:H417"/>
    <mergeCell ref="H418:H419"/>
    <mergeCell ref="H420:H428"/>
    <mergeCell ref="H429:H430"/>
    <mergeCell ref="A403:I406"/>
    <mergeCell ref="A359:I362"/>
    <mergeCell ref="A315:I318"/>
    <mergeCell ref="A1:I4"/>
    <mergeCell ref="A46:I49"/>
    <mergeCell ref="A91:I94"/>
    <mergeCell ref="A136:I139"/>
    <mergeCell ref="A181:I184"/>
    <mergeCell ref="A226:I229"/>
    <mergeCell ref="A271:I27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DATA SISWA</vt:lpstr>
      <vt:lpstr>PAI</vt:lpstr>
      <vt:lpstr>LITERASI</vt:lpstr>
      <vt:lpstr>SAINS (MATH)</vt:lpstr>
      <vt:lpstr>ADAB</vt:lpstr>
      <vt:lpstr>REKAP</vt:lpstr>
      <vt:lpstr>RAPOR</vt:lpstr>
      <vt:lpstr>PRAKTIK</vt:lpstr>
      <vt:lpstr>DESKRIPSI</vt:lpstr>
      <vt:lpstr>JILID</vt:lpstr>
      <vt:lpstr>TAHFIDZ</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Melati Sukma Ayu</cp:lastModifiedBy>
  <dcterms:created xsi:type="dcterms:W3CDTF">2025-12-07T18:15:00Z</dcterms:created>
  <dcterms:modified xsi:type="dcterms:W3CDTF">2025-12-18T01:00:47Z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31F8C02652D14C8BACE84C24E848D663_11</vt:lpwstr>
  </property>
  <property fmtid="{D5CDD505-2E9C-101B-9397-08002B2CF9AE}" pid="3" name="KSOProductBuildVer">
    <vt:lpwstr>1033-12.2.0.23155</vt:lpwstr>
  </property>
</Properties>
</file>